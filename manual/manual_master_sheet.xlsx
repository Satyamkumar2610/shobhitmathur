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Database" sheetId="1" state="visible" r:id="rId1"/>
    <sheet xmlns:r="http://schemas.openxmlformats.org/officeDocument/2006/relationships" name="Education &amp; Pedagogy" sheetId="2" state="visible" r:id="rId2"/>
    <sheet xmlns:r="http://schemas.openxmlformats.org/officeDocument/2006/relationships" name="Public Policy &amp; Governance" sheetId="3" state="visible" r:id="rId3"/>
    <sheet xmlns:r="http://schemas.openxmlformats.org/officeDocument/2006/relationships" name="Technology &amp; Innovation"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1"/>
    </font>
    <font>
      <name val="Segoe UI"/>
      <sz val="10"/>
    </font>
    <font>
      <name val="Segoe UI"/>
      <color rgb="002563EB"/>
      <sz val="10"/>
      <u val="single"/>
    </font>
  </fonts>
  <fills count="7">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047857"/>
        <bgColor rgb="00047857"/>
      </patternFill>
    </fill>
    <fill>
      <patternFill patternType="solid">
        <fgColor rgb="00B45309"/>
        <bgColor rgb="00B45309"/>
      </patternFill>
    </fill>
    <fill>
      <patternFill patternType="solid">
        <fgColor rgb="006D28D9"/>
        <bgColor rgb="006D28D9"/>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top"/>
    </xf>
    <xf numFmtId="0" fontId="2" fillId="3" borderId="1" applyAlignment="1" pivotButton="0" quotePrefix="0" xfId="0">
      <alignment horizontal="left" vertical="top" wrapText="1"/>
    </xf>
    <xf numFmtId="0" fontId="3" fillId="3" borderId="1" applyAlignment="1" pivotButton="0" quotePrefix="0" xfId="0">
      <alignment horizontal="left" vertical="top" wrapText="1"/>
    </xf>
    <xf numFmtId="0" fontId="2" fillId="0" borderId="1" applyAlignment="1" pivotButton="0" quotePrefix="0" xfId="0">
      <alignment horizontal="center" vertical="top"/>
    </xf>
    <xf numFmtId="0" fontId="2" fillId="0" borderId="1" applyAlignment="1" pivotButton="0" quotePrefix="0" xfId="0">
      <alignment horizontal="left" vertical="top" wrapText="1"/>
    </xf>
    <xf numFmtId="0" fontId="3" fillId="0" borderId="1" applyAlignment="1" pivotButton="0" quotePrefix="0" xfId="0">
      <alignment horizontal="left" vertical="top" wrapText="1"/>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1" fillId="6"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
  <sheetViews>
    <sheetView showGridLines="1" workbookViewId="0">
      <selection activeCell="A1" sqref="A1"/>
    </sheetView>
  </sheetViews>
  <sheetFormatPr baseColWidth="8" defaultRowHeight="15"/>
  <cols>
    <col width="10" customWidth="1" min="1" max="1"/>
    <col width="13" customWidth="1" min="2" max="2"/>
    <col width="20" customWidth="1" min="3" max="3"/>
    <col width="18" customWidth="1" min="4" max="4"/>
    <col width="18" customWidth="1" min="5" max="5"/>
    <col width="38" customWidth="1" min="6" max="6"/>
    <col width="50" customWidth="1" min="7" max="7"/>
    <col width="38" customWidth="1" min="8" max="8"/>
    <col width="24" customWidth="1" min="9" max="9"/>
    <col width="24" customWidth="1" min="10" max="10"/>
  </cols>
  <sheetData>
    <row r="1" ht="28" customHeight="1">
      <c r="A1" s="1" t="inlineStr">
        <is>
          <t>ID</t>
        </is>
      </c>
      <c r="B1" s="1" t="inlineStr">
        <is>
          <t>Date</t>
        </is>
      </c>
      <c r="C1" s="1" t="inlineStr">
        <is>
          <t>Publication</t>
        </is>
      </c>
      <c r="D1" s="1" t="inlineStr">
        <is>
          <t>Co-Authors</t>
        </is>
      </c>
      <c r="E1" s="1" t="inlineStr">
        <is>
          <t>Content Type</t>
        </is>
      </c>
      <c r="F1" s="1" t="inlineStr">
        <is>
          <t>Article Title</t>
        </is>
      </c>
      <c r="G1" s="1" t="inlineStr">
        <is>
          <t>Post Content (Author Commentary)</t>
        </is>
      </c>
      <c r="H1" s="1" t="inlineStr">
        <is>
          <t>URL</t>
        </is>
      </c>
      <c r="I1" s="1" t="inlineStr">
        <is>
          <t>Primary Classification</t>
        </is>
      </c>
      <c r="J1" s="1" t="inlineStr">
        <is>
          <t>Sub-classification</t>
        </is>
      </c>
    </row>
    <row r="2" ht="65" customHeight="1">
      <c r="A2" s="2" t="inlineStr">
        <is>
          <t>MANUAL-001</t>
        </is>
      </c>
      <c r="B2" s="2" t="inlineStr">
        <is>
          <t>2026-08-27</t>
        </is>
      </c>
      <c r="C2" s="2" t="inlineStr">
        <is>
          <t>ThePrint</t>
        </is>
      </c>
      <c r="D2" s="2" t="inlineStr">
        <is>
          <t>Solo / Unknown</t>
        </is>
      </c>
      <c r="E2" s="2" t="inlineStr">
        <is>
          <t>Opinion Piece</t>
        </is>
      </c>
      <c r="F2" s="3" t="inlineStr">
        <is>
          <t>Gen Z is rewriting the rules of workplace authority. It's a generational transition</t>
        </is>
      </c>
      <c r="G2" s="3" t="inlineStr">
        <is>
          <t>9th Anniversary: Free Tote &amp; Mug T he protests in New Delhi that led to the resignation of the then Union Education Minister Dharmendra Pradhan have understandably been interpreted through a political lens. Yet, beneath the debates over demands, slogans and governmental response lies a more enduring story. LATEST North Korea's Kim Jong Un says new destroyer will be p At least 5 killed in Amazon Prime Air cargo plane crash in M India-France relations have reached new heights: PM Modi Loyalty of B...</t>
        </is>
      </c>
      <c r="H2" s="4">
        <f>HYPERLINK("https://theprint.in/opinion/gen-z-rules-workplace-authority-generational-transition/3026109/", "https://theprint.in/opinion/gen-z-rules-workplace-authority-generational-transition/3026109/")</f>
        <v/>
      </c>
      <c r="I2" s="2" t="inlineStr">
        <is>
          <t>Education &amp; Pedagogy</t>
        </is>
      </c>
      <c r="J2" s="2" t="inlineStr">
        <is>
          <t>Higher Education</t>
        </is>
      </c>
    </row>
    <row r="3" ht="65" customHeight="1">
      <c r="A3" s="5" t="inlineStr">
        <is>
          <t>MANUAL-002</t>
        </is>
      </c>
      <c r="B3" s="5" t="inlineStr">
        <is>
          <t>2026-09-07</t>
        </is>
      </c>
      <c r="C3" s="5" t="inlineStr">
        <is>
          <t>The Hindu</t>
        </is>
      </c>
      <c r="D3" s="5" t="inlineStr">
        <is>
          <t>Solo / Unknown</t>
        </is>
      </c>
      <c r="E3" s="5" t="inlineStr">
        <is>
          <t>Opinion Piece</t>
        </is>
      </c>
      <c r="F3" s="6" t="inlineStr">
        <is>
          <t>How the NEET can be restructured to end question paper leaks</t>
        </is>
      </c>
      <c r="G3" s="6" t="inlineStr">
        <is>
          <t>Your active subscription(s) Products you've access to Additional Subscription Benefits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
        </is>
      </c>
      <c r="H3" s="7">
        <f>HYPERLINK("https://www.thehindu.com/education/how-the-neet-can-be-restructured-to-end-question-paper-leaks/article71279765.ece", "https://www.thehindu.com/education/how-the-neet-can-be-restructured-to-end-question-paper-leaks/article71279765.ece")</f>
        <v/>
      </c>
      <c r="I3" s="5" t="inlineStr">
        <is>
          <t>Education &amp; Pedagogy</t>
        </is>
      </c>
      <c r="J3" s="5" t="inlineStr">
        <is>
          <t>Higher Education</t>
        </is>
      </c>
    </row>
    <row r="4" ht="65" customHeight="1">
      <c r="A4" s="2" t="inlineStr">
        <is>
          <t>MANUAL-003</t>
        </is>
      </c>
      <c r="B4" s="2" t="inlineStr">
        <is>
          <t>2026-07-29</t>
        </is>
      </c>
      <c r="C4" s="2" t="inlineStr">
        <is>
          <t>ThePrint</t>
        </is>
      </c>
      <c r="D4" s="2" t="inlineStr">
        <is>
          <t>Solo / Unknown</t>
        </is>
      </c>
      <c r="E4" s="2" t="inlineStr">
        <is>
          <t>Opinion Piece</t>
        </is>
      </c>
      <c r="F4" s="3" t="inlineStr">
        <is>
          <t>India topped the Physics Olympiad. Now it needs schools built for minds like these</t>
        </is>
      </c>
      <c r="G4" s="3" t="inlineStr">
        <is>
          <t>9th Anniversary: Free Tote &amp; Mug L ast month, India achieved something extraordinary. For the second time in its history, all five members of the Indian team at the International Physics Olympiad won gold medals, placing India joint first in the world alongside China, South Korea, Kazakhstan, Russia and Taiwan. These students competed against 381 of the world's brightest school students from 87 countries. Later, the Indian team also swept the gold medals in the International Chemistry Olympiad f...</t>
        </is>
      </c>
      <c r="H4" s="4">
        <f>HYPERLINK("https://theprint.in/opinion/india-topped-the-physics-olympiad-now-it-needs-schools-built-for-minds-like-these/2999476/", "https://theprint.in/opinion/india-topped-the-physics-olympiad-now-it-needs-schools-built-for-minds-like-these/2999476/")</f>
        <v/>
      </c>
      <c r="I4" s="2" t="inlineStr">
        <is>
          <t>Education &amp; Pedagogy</t>
        </is>
      </c>
      <c r="J4" s="2" t="inlineStr">
        <is>
          <t>Higher Education</t>
        </is>
      </c>
    </row>
    <row r="5" ht="65" customHeight="1">
      <c r="A5" s="5" t="inlineStr">
        <is>
          <t>MANUAL-004</t>
        </is>
      </c>
      <c r="B5" s="5" t="inlineStr">
        <is>
          <t>2026-07-15</t>
        </is>
      </c>
      <c r="C5" s="5" t="inlineStr">
        <is>
          <t>Hindustan Times</t>
        </is>
      </c>
      <c r="D5" s="5" t="inlineStr">
        <is>
          <t>Solo / Unknown</t>
        </is>
      </c>
      <c r="E5" s="5" t="inlineStr">
        <is>
          <t>Opinion Piece</t>
        </is>
      </c>
      <c r="F5" s="6" t="inlineStr">
        <is>
          <t>India needs policy support for entrepreneurial universities</t>
        </is>
      </c>
      <c r="G5" s="6" t="inlineStr">
        <is>
          <t>Subscribe Now! Get features like By the end of 2024, India had established itself as the third-largest startup ecosystem in the world, with over 1.57 lakh recognised startups. Yet this rise has not translated into an academically grounded innovation culture. India's universities have fallen well short of their potential as crucibles for entrepreneurial innovation. A study timed to India's 100th unicorn milestone in June 2022 found that over 50% of those unicorns were founded by IIT graduates, an...</t>
        </is>
      </c>
      <c r="H5" s="7">
        <f>HYPERLINK("https://www.hindustantimes.com/ht-insight/knowledge/india-needs-policy-support-for-entrepreneurial-universities-101784099782572.html", "https://www.hindustantimes.com/ht-insight/knowledge/india-needs-policy-support-for-entrepreneurial-universities-101784099782572.html")</f>
        <v/>
      </c>
      <c r="I5" s="5" t="inlineStr">
        <is>
          <t>Education &amp; Pedagogy</t>
        </is>
      </c>
      <c r="J5" s="5" t="inlineStr">
        <is>
          <t>Higher Education</t>
        </is>
      </c>
    </row>
    <row r="6" ht="65" customHeight="1">
      <c r="A6" s="2" t="inlineStr">
        <is>
          <t>MANUAL-005</t>
        </is>
      </c>
      <c r="B6" s="2" t="inlineStr">
        <is>
          <t>2026-07-07</t>
        </is>
      </c>
      <c r="C6" s="2" t="inlineStr">
        <is>
          <t>ThePrint</t>
        </is>
      </c>
      <c r="D6" s="2" t="inlineStr">
        <is>
          <t>Solo / Unknown</t>
        </is>
      </c>
      <c r="E6" s="2" t="inlineStr">
        <is>
          <t>Opinion Piece</t>
        </is>
      </c>
      <c r="F6" s="3" t="inlineStr">
        <is>
          <t>What India can learn from America at 250</t>
        </is>
      </c>
      <c r="G6" s="3" t="inlineStr">
        <is>
          <t>9th Anniversary: Free Tote &amp; Mug A merica began, in a curious sense, as a failed search for India. When Christopher Columbus sailed west in 1492, he was looking for a route to Asia and the Indies. He found the Americas instead. History has a taste for irony. More than five centuries later, and 250 years after the American Declaration of Independence, India can profitably look west and ask what it might learn from the country that emerged from that accidental encounter. LATEST North Korea's Kim J...</t>
        </is>
      </c>
      <c r="H6" s="4">
        <f>HYPERLINK("https://theprint.in/opinion/india-can-learn-from-america-at-250/2979197/", "https://theprint.in/opinion/india-can-learn-from-america-at-250/2979197/")</f>
        <v/>
      </c>
      <c r="I6" s="2" t="inlineStr">
        <is>
          <t>Education &amp; Pedagogy</t>
        </is>
      </c>
      <c r="J6" s="2" t="inlineStr">
        <is>
          <t>Higher Education</t>
        </is>
      </c>
    </row>
    <row r="7" ht="65" customHeight="1">
      <c r="A7" s="5" t="inlineStr">
        <is>
          <t>MANUAL-006</t>
        </is>
      </c>
      <c r="B7" s="5" t="inlineStr">
        <is>
          <t>2026-09-07</t>
        </is>
      </c>
      <c r="C7" s="5" t="inlineStr">
        <is>
          <t>Unknown</t>
        </is>
      </c>
      <c r="D7" s="5" t="inlineStr">
        <is>
          <t>Solo / Unknown</t>
        </is>
      </c>
      <c r="E7" s="5" t="inlineStr">
        <is>
          <t>Opinion Piece</t>
        </is>
      </c>
      <c r="F7" s="6" t="inlineStr">
        <is>
          <t>Can Indian Universities Create Ethical Leaders in the AI Era?</t>
        </is>
      </c>
      <c r="G7" s="6" t="inlineStr">
        <is>
          <t>Monday | Sep 07 2026 | 11:34:42 AM Given the pace at which artificial intelligence (AI) is reshaping industry, education and public life, universities in India are racing to prepare students for an AI-driven economy. Yet technical training alone will not suffice. AI education also needs to factor in an ethical code of conduct for its proper implementation and use. During a recent visit to Silicon Valley, it struck me that while coders are available in abundance, there are very few who are guided...</t>
        </is>
      </c>
      <c r="H7" s="7">
        <f>HYPERLINK("https://www.bweducation.com/article/can-indian-universities-create-ethical-leaders-in-the-ai-era-613101", "https://www.bweducation.com/article/can-indian-universities-create-ethical-leaders-in-the-ai-era-613101")</f>
        <v/>
      </c>
      <c r="I7" s="5" t="inlineStr">
        <is>
          <t>Education &amp; Pedagogy</t>
        </is>
      </c>
      <c r="J7" s="5" t="inlineStr">
        <is>
          <t>Higher Education</t>
        </is>
      </c>
    </row>
    <row r="8" ht="65" customHeight="1">
      <c r="A8" s="2" t="inlineStr">
        <is>
          <t>MANUAL-007</t>
        </is>
      </c>
      <c r="B8" s="2" t="inlineStr">
        <is>
          <t>2026-09-07</t>
        </is>
      </c>
      <c r="C8" s="2" t="inlineStr">
        <is>
          <t>Unknown</t>
        </is>
      </c>
      <c r="D8" s="2" t="inlineStr">
        <is>
          <t>Solo / Unknown</t>
        </is>
      </c>
      <c r="E8" s="2" t="inlineStr">
        <is>
          <t>Opinion Piece</t>
        </is>
      </c>
      <c r="F8" s="3" t="inlineStr">
        <is>
          <t>Global Labour Shift: How India Is Becoming the World's Skilled Workforce Hub</t>
        </is>
      </c>
      <c r="G8" s="3" t="inlineStr">
        <is>
          <t>A Russian construction firm trains Indian recruits on-site to fit glass and aluminum because it cannot find enough workers at home. A Japanese care-home operator flies six Indian nurses to Osaka for nine months of language instruction before letting them near a patient. An Israeli builder, stripped of the Palestinian workforce he relied on for decades, tells officials he needs "close to 100,000" Indian workers to restart construction. These are not isolated anecdotes. They are data points in one...</t>
        </is>
      </c>
      <c r="H8" s="4">
        <f>HYPERLINK("https://dailypioneer.com/news/the-export-of-skill-the-risk-of-scarcity", "https://dailypioneer.com/news/the-export-of-skill-the-risk-of-scarcity")</f>
        <v/>
      </c>
      <c r="I8" s="2" t="inlineStr">
        <is>
          <t>Education &amp; Pedagogy</t>
        </is>
      </c>
      <c r="J8" s="2" t="inlineStr">
        <is>
          <t>Higher Education</t>
        </is>
      </c>
    </row>
    <row r="9" ht="65" customHeight="1">
      <c r="A9" s="5" t="inlineStr">
        <is>
          <t>MANUAL-008</t>
        </is>
      </c>
      <c r="B9" s="5" t="inlineStr">
        <is>
          <t>2026-06-19</t>
        </is>
      </c>
      <c r="C9" s="5" t="inlineStr">
        <is>
          <t>ThePrint</t>
        </is>
      </c>
      <c r="D9" s="5" t="inlineStr">
        <is>
          <t>Solo / Unknown</t>
        </is>
      </c>
      <c r="E9" s="5" t="inlineStr">
        <is>
          <t>Opinion Piece</t>
        </is>
      </c>
      <c r="F9" s="6" t="inlineStr">
        <is>
          <t>Digital sovereignty in India: Why data localisation isn't enough in AI age</t>
        </is>
      </c>
      <c r="G9" s="6" t="inlineStr">
        <is>
          <t>9th Anniversary: Free Tote &amp; Mug I ndia's digital sovereignty debate is still trapped in a misleading image: the server. For years, the public conversation around digital sovereignty focused on where data physically sits. If Indian data is stored inside India, we assume India is sovereign over it. That assumption made sense in an earlier internet era. It is no longer sufficient in the age of cloud computing and artificial intelligence. LATEST North Korea's Kim Jong Un says new destroyer will be ...</t>
        </is>
      </c>
      <c r="H9" s="7">
        <f>HYPERLINK("https://theprint.in/opinion/digital-sovereignty-india-data-localisation-ai/2963941/", "https://theprint.in/opinion/digital-sovereignty-india-data-localisation-ai/2963941/")</f>
        <v/>
      </c>
      <c r="I9" s="5" t="inlineStr">
        <is>
          <t>Education &amp; Pedagogy</t>
        </is>
      </c>
      <c r="J9" s="5" t="inlineStr">
        <is>
          <t>Higher Education</t>
        </is>
      </c>
    </row>
    <row r="10" ht="65" customHeight="1">
      <c r="A10" s="2" t="inlineStr">
        <is>
          <t>MANUAL-009</t>
        </is>
      </c>
      <c r="B10" s="2" t="inlineStr">
        <is>
          <t>2026-09-07</t>
        </is>
      </c>
      <c r="C10" s="2" t="inlineStr">
        <is>
          <t>Unknown</t>
        </is>
      </c>
      <c r="D10" s="2" t="inlineStr">
        <is>
          <t>Solo / Unknown</t>
        </is>
      </c>
      <c r="E10" s="2" t="inlineStr">
        <is>
          <t>Opinion Piece</t>
        </is>
      </c>
      <c r="F10" s="3" t="inlineStr">
        <is>
          <t>Access Denied</t>
        </is>
      </c>
      <c r="G10" s="3" t="inlineStr">
        <is>
          <t>Reference #18.a1cc517.1788761173.914095ca https://errors.edgesuite.net/18.a1cc517.1788761173.914095ca</t>
        </is>
      </c>
      <c r="H10" s="4">
        <f>HYPERLINK("https://www.firstpost.com/opinion/indias-technical-rise-must-be-built-on-frugal-innovation-14016350.html", "https://www.firstpost.com/opinion/indias-technical-rise-must-be-built-on-frugal-innovation-14016350.html")</f>
        <v/>
      </c>
      <c r="I10" s="2" t="inlineStr">
        <is>
          <t>Uncategorized</t>
        </is>
      </c>
      <c r="J10" s="2" t="inlineStr">
        <is>
          <t>N/A</t>
        </is>
      </c>
    </row>
    <row r="11" ht="65" customHeight="1">
      <c r="A11" s="5" t="inlineStr">
        <is>
          <t>MANUAL-010</t>
        </is>
      </c>
      <c r="B11" s="5" t="inlineStr">
        <is>
          <t>2026-04-21</t>
        </is>
      </c>
      <c r="C11" s="5" t="inlineStr">
        <is>
          <t>ThePrint</t>
        </is>
      </c>
      <c r="D11" s="5" t="inlineStr">
        <is>
          <t>Solo / Unknown</t>
        </is>
      </c>
      <c r="E11" s="5" t="inlineStr">
        <is>
          <t>Opinion Piece</t>
        </is>
      </c>
      <c r="F11" s="6" t="inlineStr">
        <is>
          <t>University townships - India can do what US got right</t>
        </is>
      </c>
      <c r="G11" s="6" t="inlineStr">
        <is>
          <t>9th Anniversary: Free Tote &amp; Mug W hile India's universities largely operate in silos, each with its own labs and computing centres, the US has built great university ecosystems such as Research Triangle Park and the Boston-Cambridge corridor. In the second model, money saved on duplicated infrastructure can be redirected towards faculty, fellowships, and genuine research. LATEST North Korea's Kim Jong Un says new destroyer will be p At least 5 killed in Amazon Prime Air cargo plane crash in M I...</t>
        </is>
      </c>
      <c r="H11" s="7">
        <f>HYPERLINK("https://theprint.in/opinion/university-townships-indias-chance-to-build-its-own-version-of-what-america-got-right/2909965/", "https://theprint.in/opinion/university-townships-indias-chance-to-build-its-own-version-of-what-america-got-right/2909965/")</f>
        <v/>
      </c>
      <c r="I11" s="5" t="inlineStr">
        <is>
          <t>Education &amp; Pedagogy</t>
        </is>
      </c>
      <c r="J11" s="5" t="inlineStr">
        <is>
          <t>Higher Education</t>
        </is>
      </c>
    </row>
    <row r="12" ht="65" customHeight="1">
      <c r="A12" s="2" t="inlineStr">
        <is>
          <t>MANUAL-011</t>
        </is>
      </c>
      <c r="B12" s="2" t="inlineStr">
        <is>
          <t>2026-09-07</t>
        </is>
      </c>
      <c r="C12" s="2" t="inlineStr">
        <is>
          <t>Unknown</t>
        </is>
      </c>
      <c r="D12" s="2" t="inlineStr">
        <is>
          <t>Solo / Unknown</t>
        </is>
      </c>
      <c r="E12" s="2" t="inlineStr">
        <is>
          <t>Opinion Piece</t>
        </is>
      </c>
      <c r="F12" s="3" t="inlineStr">
        <is>
          <t>India's permanent Government in a temporary world</t>
        </is>
      </c>
      <c r="G12" s="3" t="inlineStr">
        <is>
          <t>The world is being rewritten faster than any government can track. Artificial intelligence is automating entire categories of administrative work. Digital citizen services have raised public expectations to a standard set by the private sector. A restructuring global trade and technology order is placing demands on India's regulatory and diplomatic institutions that are qualitatively different from anything their officers were trained to handle. Most governments respond to this kind of disruptio...</t>
        </is>
      </c>
      <c r="H12" s="4">
        <f>HYPERLINK("https://dailypioneer.com/news/india-s-permanent-government-in-a-temporary-world", "https://dailypioneer.com/news/india-s-permanent-government-in-a-temporary-world")</f>
        <v/>
      </c>
      <c r="I12" s="2" t="inlineStr">
        <is>
          <t>Public Policy &amp; Governance</t>
        </is>
      </c>
      <c r="J12" s="2" t="inlineStr">
        <is>
          <t>Civic Systems</t>
        </is>
      </c>
    </row>
    <row r="13" ht="65" customHeight="1">
      <c r="A13" s="5" t="inlineStr">
        <is>
          <t>MANUAL-012</t>
        </is>
      </c>
      <c r="B13" s="5" t="inlineStr">
        <is>
          <t>2026-02-11</t>
        </is>
      </c>
      <c r="C13" s="5" t="inlineStr">
        <is>
          <t>ThePrint</t>
        </is>
      </c>
      <c r="D13" s="5" t="inlineStr">
        <is>
          <t>Solo / Unknown</t>
        </is>
      </c>
      <c r="E13" s="5" t="inlineStr">
        <is>
          <t>Opinion Piece</t>
        </is>
      </c>
      <c r="F13" s="6" t="inlineStr">
        <is>
          <t>Why for-profit medical colleges are a step forward</t>
        </is>
      </c>
      <c r="G13" s="6" t="inlineStr">
        <is>
          <t>9th Anniversary: Free Tote &amp; Mug T he National Medical Commission's recent decision to allow for-profit entities to establish medical colleges under the public-private partnership framework marks a rare moment of realism in Indian education policy. At a time when India faces an acute shortage of doctors, mounting pressure on public health infrastructure, and a growing exodus of students seeking medical education abroad, the move directly addresses the most binding constraint in the system: the l...</t>
        </is>
      </c>
      <c r="H13" s="7">
        <f>HYPERLINK("https://theprint.in/opinion/for-profit-medical-colleges-education-ownership/2851299/", "https://theprint.in/opinion/for-profit-medical-colleges-education-ownership/2851299/")</f>
        <v/>
      </c>
      <c r="I13" s="5" t="inlineStr">
        <is>
          <t>Education &amp; Pedagogy</t>
        </is>
      </c>
      <c r="J13" s="5" t="inlineStr">
        <is>
          <t>Higher Education</t>
        </is>
      </c>
    </row>
    <row r="14" ht="65" customHeight="1">
      <c r="A14" s="2" t="inlineStr">
        <is>
          <t>MANUAL-013</t>
        </is>
      </c>
      <c r="B14" s="2" t="inlineStr">
        <is>
          <t>2026-09-07</t>
        </is>
      </c>
      <c r="C14" s="2" t="inlineStr">
        <is>
          <t>Unknown</t>
        </is>
      </c>
      <c r="D14" s="2" t="inlineStr">
        <is>
          <t>Solo / Unknown</t>
        </is>
      </c>
      <c r="E14" s="2" t="inlineStr">
        <is>
          <t>Opinion Piece</t>
        </is>
      </c>
      <c r="F14" s="3" t="inlineStr">
        <is>
          <t>Access Denied</t>
        </is>
      </c>
      <c r="G14" s="3" t="inlineStr">
        <is>
          <t>Reference #18.131cc517.1788761252.3b4960ca https://errors.edgesuite.net/18.131cc517.1788761252.3b4960ca</t>
        </is>
      </c>
      <c r="H14" s="4">
        <f>HYPERLINK("https://www.news18.com/opinion/opinion-ai-in-indian-classrooms-implications-for-pedagogy-equity-and-systemic-reform-ws-ekl-9784396.html", "https://www.news18.com/opinion/opinion-ai-in-indian-classrooms-implications-for-pedagogy-equity-and-systemic-reform-ws-ekl-9784396.html")</f>
        <v/>
      </c>
      <c r="I14" s="2" t="inlineStr">
        <is>
          <t>Uncategorized</t>
        </is>
      </c>
      <c r="J14" s="2" t="inlineStr">
        <is>
          <t>N/A</t>
        </is>
      </c>
    </row>
    <row r="15" ht="65" customHeight="1">
      <c r="A15" s="5" t="inlineStr">
        <is>
          <t>MANUAL-014</t>
        </is>
      </c>
      <c r="B15" s="5" t="inlineStr">
        <is>
          <t>2026-09-07</t>
        </is>
      </c>
      <c r="C15" s="5" t="inlineStr">
        <is>
          <t>Unknown</t>
        </is>
      </c>
      <c r="D15" s="5" t="inlineStr">
        <is>
          <t>Solo / Unknown</t>
        </is>
      </c>
      <c r="E15" s="5" t="inlineStr">
        <is>
          <t>Opinion Piece</t>
        </is>
      </c>
      <c r="F15" s="6" t="inlineStr">
        <is>
          <t>Access Denied</t>
        </is>
      </c>
      <c r="G15" s="6" t="inlineStr">
        <is>
          <t>Reference #18.131cc517.1788761285.3b4c8e2c https://errors.edgesuite.net/18.131cc517.1788761285.3b4c8e2c</t>
        </is>
      </c>
      <c r="H15" s="7">
        <f>HYPERLINK("https://www.news18.com/opinion/opinion-winter-session-or-another-washout-a-10-point-plan-to-end-cycle-of-disruption-ws-kl-9742540.html", "https://www.news18.com/opinion/opinion-winter-session-or-another-washout-a-10-point-plan-to-end-cycle-of-disruption-ws-kl-9742540.html")</f>
        <v/>
      </c>
      <c r="I15" s="5" t="inlineStr">
        <is>
          <t>Uncategorized</t>
        </is>
      </c>
      <c r="J15" s="5" t="inlineStr">
        <is>
          <t>N/A</t>
        </is>
      </c>
    </row>
    <row r="16" ht="65" customHeight="1">
      <c r="A16" s="2" t="inlineStr">
        <is>
          <t>MANUAL-015</t>
        </is>
      </c>
      <c r="B16" s="2" t="inlineStr">
        <is>
          <t>2026-09-07</t>
        </is>
      </c>
      <c r="C16" s="2" t="inlineStr">
        <is>
          <t>Unknown</t>
        </is>
      </c>
      <c r="D16" s="2" t="inlineStr">
        <is>
          <t>Solo / Unknown</t>
        </is>
      </c>
      <c r="E16" s="2" t="inlineStr">
        <is>
          <t>Opinion Piece</t>
        </is>
      </c>
      <c r="F16" s="3" t="inlineStr">
        <is>
          <t>Access Denied</t>
        </is>
      </c>
      <c r="G16" s="3" t="inlineStr">
        <is>
          <t>Reference #18.131cc517.1788761319.3b4fa4bf https://errors.edgesuite.net/18.131cc517.1788761319.3b4fa4bf</t>
        </is>
      </c>
      <c r="H16" s="4">
        <f>HYPERLINK("https://www.news18.com/opinion/opinion-are-more-and-bigger-iits-the-answer-or-do-we-need-a-new-playbook-9554350.html", "https://www.news18.com/opinion/opinion-are-more-and-bigger-iits-the-answer-or-do-we-need-a-new-playbook-9554350.html")</f>
        <v/>
      </c>
      <c r="I16" s="2" t="inlineStr">
        <is>
          <t>Uncategorized</t>
        </is>
      </c>
      <c r="J16" s="2" t="inlineStr">
        <is>
          <t>N/A</t>
        </is>
      </c>
    </row>
    <row r="17" ht="65" customHeight="1">
      <c r="A17" s="5" t="inlineStr">
        <is>
          <t>MANUAL-016</t>
        </is>
      </c>
      <c r="B17" s="5" t="inlineStr">
        <is>
          <t>2026-09-07</t>
        </is>
      </c>
      <c r="C17" s="5" t="inlineStr">
        <is>
          <t>Unknown</t>
        </is>
      </c>
      <c r="D17" s="5" t="inlineStr">
        <is>
          <t>Solo / Unknown</t>
        </is>
      </c>
      <c r="E17" s="5" t="inlineStr">
        <is>
          <t>Opinion Piece</t>
        </is>
      </c>
      <c r="F17" s="6" t="inlineStr">
        <is>
          <t>Access Denied</t>
        </is>
      </c>
      <c r="G17" s="6" t="inlineStr">
        <is>
          <t>Reference #18.101cc517.1788761352.c69e6f0e https://errors.edgesuite.net/18.101cc517.1788761352.c69e6f0e</t>
        </is>
      </c>
      <c r="H17" s="7">
        <f>HYPERLINK("https://www.ndtv.com/opinion/how-outdated-laws-are-stifling-indias-private-universities-7623703", "https://www.ndtv.com/opinion/how-outdated-laws-are-stifling-indias-private-universities-7623703")</f>
        <v/>
      </c>
      <c r="I17" s="5" t="inlineStr">
        <is>
          <t>Uncategorized</t>
        </is>
      </c>
      <c r="J17" s="5" t="inlineStr">
        <is>
          <t>N/A</t>
        </is>
      </c>
    </row>
    <row r="18" ht="65" customHeight="1">
      <c r="A18" s="2" t="inlineStr">
        <is>
          <t>MANUAL-017</t>
        </is>
      </c>
      <c r="B18" s="2" t="inlineStr">
        <is>
          <t>2026-09-07</t>
        </is>
      </c>
      <c r="C18" s="2" t="inlineStr">
        <is>
          <t>The Hindu</t>
        </is>
      </c>
      <c r="D18" s="2" t="inlineStr">
        <is>
          <t>Solo / Unknown</t>
        </is>
      </c>
      <c r="E18" s="2" t="inlineStr">
        <is>
          <t>Opinion Piece</t>
        </is>
      </c>
      <c r="F18" s="3" t="inlineStr">
        <is>
          <t>Emerging trends in Public Policy Education in India</t>
        </is>
      </c>
      <c r="G18" s="3" t="inlineStr">
        <is>
          <t>Your active subscription(s) Products you've access to Additional Subscription Benefits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
        </is>
      </c>
      <c r="H18" s="4">
        <f>HYPERLINK("https://www.thehindu.com/education/emerging-trends-in-public-policy-education-in-india/article68828680.ece", "https://www.thehindu.com/education/emerging-trends-in-public-policy-education-in-india/article68828680.ece")</f>
        <v/>
      </c>
      <c r="I18" s="2" t="inlineStr">
        <is>
          <t>Education &amp; Pedagogy</t>
        </is>
      </c>
      <c r="J18" s="2" t="inlineStr">
        <is>
          <t>Higher Education</t>
        </is>
      </c>
    </row>
    <row r="19" ht="65" customHeight="1">
      <c r="A19" s="5" t="inlineStr">
        <is>
          <t>MANUAL-018</t>
        </is>
      </c>
      <c r="B19" s="5" t="inlineStr">
        <is>
          <t>2026-09-07</t>
        </is>
      </c>
      <c r="C19" s="5" t="inlineStr">
        <is>
          <t>Unknown</t>
        </is>
      </c>
      <c r="D19" s="5" t="inlineStr">
        <is>
          <t>Solo / Unknown</t>
        </is>
      </c>
      <c r="E19" s="5" t="inlineStr">
        <is>
          <t>Opinion Piece</t>
        </is>
      </c>
      <c r="F19" s="6" t="inlineStr">
        <is>
          <t>Wealth management and the triple multiplier effect</t>
        </is>
      </c>
      <c r="G19" s="6" t="inlineStr">
        <is>
          <t>This growth is underpinned by the 'Triple Multiplier Effect' - the confluence of rising High Networth Individuals (HNI) investors, asset appreciation, and savings from incremental growth in income. (What's moving Sensex and Nifty Track latest market news, stock tips, Budget 2025, Share Market on Budget 2025 and expert advice, on ETMarkets. Also, ETMarkets.com is now on Telegram. For fastest news alerts on financial markets, investment strategies and stocks alerts, subscribe to our Telegram feeds...</t>
        </is>
      </c>
      <c r="H19" s="7">
        <f>HYPERLINK("https://economictimes.indiatimes.com/markets/stocks/news/wealth-management-and-the-triple-multiplier-effect/articleshow/113143926.cms", "https://economictimes.indiatimes.com/markets/stocks/news/wealth-management-and-the-triple-multiplier-effect/articleshow/113143926.cms")</f>
        <v/>
      </c>
      <c r="I19" s="5" t="inlineStr">
        <is>
          <t>Technology &amp; Innovation</t>
        </is>
      </c>
      <c r="J19" s="5" t="inlineStr">
        <is>
          <t>AI Implications</t>
        </is>
      </c>
    </row>
    <row r="20" ht="65" customHeight="1">
      <c r="A20" s="2" t="inlineStr">
        <is>
          <t>MANUAL-019</t>
        </is>
      </c>
      <c r="B20" s="2" t="inlineStr">
        <is>
          <t>2026-09-07</t>
        </is>
      </c>
      <c r="C20" s="2" t="inlineStr">
        <is>
          <t>Unknown</t>
        </is>
      </c>
      <c r="D20" s="2" t="inlineStr">
        <is>
          <t>Solo / Unknown</t>
        </is>
      </c>
      <c r="E20" s="2" t="inlineStr">
        <is>
          <t>Opinion Piece</t>
        </is>
      </c>
      <c r="F20" s="3" t="inlineStr">
        <is>
          <t>To escape annual cycle of leaks and stress, India needs a new exam design</t>
        </is>
      </c>
      <c r="G20" s="3" t="inlineStr">
        <is>
          <t>Every summer sees an onslaught of competitive examinations in India, unlike anywhere else in the world. Millions of anxious students, their minds conditioned by years of coaching class regimens, accompanied by nervous parents, descend on designated test centres to undertake make-or-break examinations. The systemic strain of administering such gargantuan single-day tests, which shape the lives of millions, is immense. Despite the best efforts of testing agencies, errors occur, with the result tha...</t>
        </is>
      </c>
      <c r="H20" s="4">
        <f>HYPERLINK("https://indianexpress.com/article/opinion/columns/escape-annual-cycle-leaks-stress-india-exam-design-9409735/", "https://indianexpress.com/article/opinion/columns/escape-annual-cycle-leaks-stress-india-exam-design-9409735/")</f>
        <v/>
      </c>
      <c r="I20" s="2" t="inlineStr">
        <is>
          <t>Education &amp; Pedagogy</t>
        </is>
      </c>
      <c r="J20" s="2" t="inlineStr">
        <is>
          <t>Systemic Reform</t>
        </is>
      </c>
    </row>
    <row r="21" ht="65" customHeight="1">
      <c r="A21" s="5" t="inlineStr">
        <is>
          <t>MANUAL-020</t>
        </is>
      </c>
      <c r="B21" s="5" t="inlineStr">
        <is>
          <t>2026-09-07</t>
        </is>
      </c>
      <c r="C21" s="5" t="inlineStr">
        <is>
          <t>Unknown</t>
        </is>
      </c>
      <c r="D21" s="5" t="inlineStr">
        <is>
          <t>Solo / Unknown</t>
        </is>
      </c>
      <c r="E21" s="5" t="inlineStr">
        <is>
          <t>Opinion Piece</t>
        </is>
      </c>
      <c r="F21" s="6" t="inlineStr">
        <is>
          <t>Access Denied</t>
        </is>
      </c>
      <c r="G21" s="6" t="inlineStr">
        <is>
          <t>Reference #18.a1cc517.1788761471.91657769 https://errors.edgesuite.net/18.a1cc517.1788761471.91657769</t>
        </is>
      </c>
      <c r="H21" s="7">
        <f>HYPERLINK("https://www.news18.com/opinion/opinion-greening-of-trade-laws-or-gaming-the-rules-of-trade-8932513.html", "https://www.news18.com/opinion/opinion-greening-of-trade-laws-or-gaming-the-rules-of-trade-8932513.html")</f>
        <v/>
      </c>
      <c r="I21" s="5" t="inlineStr">
        <is>
          <t>Uncategorized</t>
        </is>
      </c>
      <c r="J21" s="5" t="inlineStr">
        <is>
          <t>N/A</t>
        </is>
      </c>
    </row>
    <row r="22" ht="65" customHeight="1">
      <c r="A22" s="2" t="inlineStr">
        <is>
          <t>MANUAL-021</t>
        </is>
      </c>
      <c r="B22" s="2" t="inlineStr">
        <is>
          <t>2026-09-07</t>
        </is>
      </c>
      <c r="C22" s="2" t="inlineStr">
        <is>
          <t>Unknown</t>
        </is>
      </c>
      <c r="D22" s="2" t="inlineStr">
        <is>
          <t>Solo / Unknown</t>
        </is>
      </c>
      <c r="E22" s="2" t="inlineStr">
        <is>
          <t>Opinion Piece</t>
        </is>
      </c>
      <c r="F22" s="3" t="inlineStr">
        <is>
          <t>Access Denied</t>
        </is>
      </c>
      <c r="G22" s="3" t="inlineStr">
        <is>
          <t>Reference #18.d1cc517.1788761504.4340ce28 https://errors.edgesuite.net/18.d1cc517.1788761504.4340ce28</t>
        </is>
      </c>
      <c r="H22" s="4">
        <f>HYPERLINK("https://www.news18.com/opinion/opinion-is-your-degree-enough-why-universities-must-prioritise-foundational-meta-skills-8901612.html", "https://www.news18.com/opinion/opinion-is-your-degree-enough-why-universities-must-prioritise-foundational-meta-skills-8901612.html")</f>
        <v/>
      </c>
      <c r="I22" s="2" t="inlineStr">
        <is>
          <t>Uncategorized</t>
        </is>
      </c>
      <c r="J22" s="2" t="inlineStr">
        <is>
          <t>N/A</t>
        </is>
      </c>
    </row>
    <row r="23" ht="65" customHeight="1">
      <c r="A23" s="5" t="inlineStr">
        <is>
          <t>MANUAL-022</t>
        </is>
      </c>
      <c r="B23" s="5" t="inlineStr">
        <is>
          <t>2026-09-07</t>
        </is>
      </c>
      <c r="C23" s="5" t="inlineStr">
        <is>
          <t>Unknown</t>
        </is>
      </c>
      <c r="D23" s="5" t="inlineStr">
        <is>
          <t>Solo / Unknown</t>
        </is>
      </c>
      <c r="E23" s="5" t="inlineStr">
        <is>
          <t>Opinion Piece</t>
        </is>
      </c>
      <c r="F23" s="6" t="inlineStr">
        <is>
          <t>iit jee preparation: View: Need to go way beyond IITs, JEE to nurture innovation and leadership</t>
        </is>
      </c>
      <c r="G23" s="6" t="inlineStr">
        <is>
          <t>LEVEL UP WITH ETPRIME Special Offer: Flat 40% Off What's Included with ETPrime Membership Trump temper on H-1B visas is forcing Indians to do these things to stay put in US What Adani's US indictment means for India Inc's overseas fundraising Why veterans like Reliance, L&amp;T are on acquisition spree? Aswath Damodaran has an answer. Will China's dollar bond sale in Saudi Arabia trump the US in financial world? Huawei launches its own OS to compete with Google and Apple. But can it win beyond China...</t>
        </is>
      </c>
      <c r="H23" s="7">
        <f>HYPERLINK("https://economictimes.indiatimes.com/opinion/et-commentary/view-need-to-go-way-beyond-iits-jee-to-nurture-innovation-and-leadership/articleshow/109073445.cms", "https://economictimes.indiatimes.com/opinion/et-commentary/view-need-to-go-way-beyond-iits-jee-to-nurture-innovation-and-leadership/articleshow/109073445.cms")</f>
        <v/>
      </c>
      <c r="I23" s="5" t="inlineStr">
        <is>
          <t>Education &amp; Pedagogy</t>
        </is>
      </c>
      <c r="J23" s="5" t="inlineStr">
        <is>
          <t>Systemic Reform</t>
        </is>
      </c>
    </row>
    <row r="24" ht="65" customHeight="1">
      <c r="A24" s="2" t="inlineStr">
        <is>
          <t>MANUAL-023</t>
        </is>
      </c>
      <c r="B24" s="2" t="inlineStr">
        <is>
          <t>2026-09-07</t>
        </is>
      </c>
      <c r="C24" s="2" t="inlineStr">
        <is>
          <t>Unknown</t>
        </is>
      </c>
      <c r="D24" s="2" t="inlineStr">
        <is>
          <t>Solo / Unknown</t>
        </is>
      </c>
      <c r="E24" s="2" t="inlineStr">
        <is>
          <t>Opinion Piece</t>
        </is>
      </c>
      <c r="F24" s="3" t="inlineStr">
        <is>
          <t>403</t>
        </is>
      </c>
      <c r="G24" s="3" t="inlineStr">
        <is>
          <t>Access to this page is forbidden.</t>
        </is>
      </c>
      <c r="H24" s="4">
        <f>HYPERLINK("https://www.devprojournal.com/technology-trends/the-digital-transformation-of-software-development/", "https://www.devprojournal.com/technology-trends/the-digital-transformation-of-software-development/")</f>
        <v/>
      </c>
      <c r="I24" s="2" t="inlineStr">
        <is>
          <t>Uncategorized</t>
        </is>
      </c>
      <c r="J24" s="2" t="inlineStr">
        <is>
          <t>N/A</t>
        </is>
      </c>
    </row>
    <row r="25" ht="65" customHeight="1">
      <c r="A25" s="5" t="inlineStr">
        <is>
          <t>MANUAL-024</t>
        </is>
      </c>
      <c r="B25" s="5" t="inlineStr">
        <is>
          <t>2023-08-14</t>
        </is>
      </c>
      <c r="C25" s="5" t="inlineStr">
        <is>
          <t>Hindustan Times</t>
        </is>
      </c>
      <c r="D25" s="5" t="inlineStr">
        <is>
          <t>Solo / Unknown</t>
        </is>
      </c>
      <c r="E25" s="5" t="inlineStr">
        <is>
          <t>Opinion Piece</t>
        </is>
      </c>
      <c r="F25" s="6" t="inlineStr">
        <is>
          <t>The idea of India: Fostering 77 years of inclusive education</t>
        </is>
      </c>
      <c r="G25" s="6" t="inlineStr">
        <is>
          <t>Subscribe Now! Get features like On the dawn of India's 77th Independence Day, the nation, with its rich tapestry of history, culture, and diversity, stands at a significant crossroads. The tricolour unfurls with pride, echoing the dreams, aspirations, and challenges of over a billion souls. Among the myriad sectors that have witnessed progress since 1947, education remains a cornerstone. While the country has made commendable strides in school enrolments, especially post-pandemic, the quality o...</t>
        </is>
      </c>
      <c r="H25" s="7">
        <f>HYPERLINK("https://www.hindustantimes.com/education/features/the-idea-of-india-fostering-77-years-of-inclusive-education-101691998836921.html", "https://www.hindustantimes.com/education/features/the-idea-of-india-fostering-77-years-of-inclusive-education-101691998836921.html")</f>
        <v/>
      </c>
      <c r="I25" s="5" t="inlineStr">
        <is>
          <t>Education &amp; Pedagogy</t>
        </is>
      </c>
      <c r="J25" s="5" t="inlineStr">
        <is>
          <t>Higher Education</t>
        </is>
      </c>
    </row>
    <row r="26" ht="65" customHeight="1">
      <c r="A26" s="2" t="inlineStr">
        <is>
          <t>MANUAL-025</t>
        </is>
      </c>
      <c r="B26" s="2" t="inlineStr">
        <is>
          <t>2026-09-07</t>
        </is>
      </c>
      <c r="C26" s="2" t="inlineStr">
        <is>
          <t>Unknown</t>
        </is>
      </c>
      <c r="D26" s="2" t="inlineStr">
        <is>
          <t>Solo / Unknown</t>
        </is>
      </c>
      <c r="E26" s="2" t="inlineStr">
        <is>
          <t>Opinion Piece</t>
        </is>
      </c>
      <c r="F26" s="3" t="inlineStr">
        <is>
          <t>Access Denied</t>
        </is>
      </c>
      <c r="G26" s="3" t="inlineStr">
        <is>
          <t>Reference #18.131cc517.1788761584.3b6a2627 https://errors.edgesuite.net/18.131cc517.1788761584.3b6a2627</t>
        </is>
      </c>
      <c r="H26" s="4">
        <f>HYPERLINK("https://www.firstpost.com/sports/budget-2023-24-expectation-national-msme-policy-can-provide-framework-for-growth-development-of-sector-12077312.html", "https://www.firstpost.com/sports/budget-2023-24-expectation-national-msme-policy-can-provide-framework-for-growth-development-of-sector-12077312.html")</f>
        <v/>
      </c>
      <c r="I26" s="2" t="inlineStr">
        <is>
          <t>Uncategorized</t>
        </is>
      </c>
      <c r="J26" s="2" t="inlineStr">
        <is>
          <t>N/A</t>
        </is>
      </c>
    </row>
    <row r="27" ht="65" customHeight="1">
      <c r="A27" s="5" t="inlineStr">
        <is>
          <t>MANUAL-026</t>
        </is>
      </c>
      <c r="B27" s="5" t="inlineStr">
        <is>
          <t>2026-09-07</t>
        </is>
      </c>
      <c r="C27" s="5" t="inlineStr">
        <is>
          <t>Livemint</t>
        </is>
      </c>
      <c r="D27" s="5" t="inlineStr">
        <is>
          <t>Solo / Unknown</t>
        </is>
      </c>
      <c r="E27" s="5" t="inlineStr">
        <is>
          <t>Opinion Piece</t>
        </is>
      </c>
      <c r="F27" s="6" t="inlineStr">
        <is>
          <t>Indian universities must prepare for foreign competition at home</t>
        </is>
      </c>
      <c r="G27" s="6" t="inlineStr">
        <is>
          <t>This is a Mint Premium article gifted to you.Subscribe to enjoy similar stories. Last year, about 800,000 Indian students went abroad for higher education, and spent 45,000 crore yearly on their tuition fees alone. About 200,000 Indian students chose the US as a destination for their higher education. This was a 19% increase from the previous year. It is estimated that by 2024, 1.8 million students will go abroad and spend about 6.4 trillion in tuition and living expenses: that is, 2.7% of India...</t>
        </is>
      </c>
      <c r="H27" s="7">
        <f>HYPERLINK("https://www.livemint.com/opinion/online-views/indian-universities-must-prepare-for-foreign-competition-at-home-11669829099722.html", "https://www.livemint.com/opinion/online-views/indian-universities-must-prepare-for-foreign-competition-at-home-11669829099722.html")</f>
        <v/>
      </c>
      <c r="I27" s="5" t="inlineStr">
        <is>
          <t>Education &amp; Pedagogy</t>
        </is>
      </c>
      <c r="J27" s="5" t="inlineStr">
        <is>
          <t>Higher Education</t>
        </is>
      </c>
    </row>
    <row r="28" ht="65" customHeight="1">
      <c r="A28" s="2" t="inlineStr">
        <is>
          <t>MANUAL-027</t>
        </is>
      </c>
      <c r="B28" s="2" t="inlineStr">
        <is>
          <t>2026-09-07</t>
        </is>
      </c>
      <c r="C28" s="2" t="inlineStr">
        <is>
          <t>Unknown</t>
        </is>
      </c>
      <c r="D28" s="2" t="inlineStr">
        <is>
          <t>Solo / Unknown</t>
        </is>
      </c>
      <c r="E28" s="2" t="inlineStr">
        <is>
          <t>Opinion Piece</t>
        </is>
      </c>
      <c r="F28" s="3" t="inlineStr">
        <is>
          <t>Inflating Orders Can Worsen Supply Chain Uncertainty</t>
        </is>
      </c>
      <c r="G28" s="3" t="inlineStr">
        <is>
          <t>by Tarikere T. Niranjan, Shobhit Mathur, Narendra Kumar Ghosalya and Nagesh Gavirneni Global supply chains are facing unprecedented inventory shortages due to massive disruptions caused by the Covid-19 pandemic, geopolitical conflicts, trade wars, and extreme weather events. Procurement managers, worried that they may not receive the materials they need, order higher quantities than what their manufacturing or service operations actually need. Explore More Like This</t>
        </is>
      </c>
      <c r="H28" s="4">
        <f>HYPERLINK("https://hbr.org/2022/10/inflating-orders-can-worsen-supply-chain-uncertainty", "https://hbr.org/2022/10/inflating-orders-can-worsen-supply-chain-uncertainty")</f>
        <v/>
      </c>
      <c r="I28" s="2" t="inlineStr">
        <is>
          <t>Technology &amp; Innovation</t>
        </is>
      </c>
      <c r="J28" s="2" t="inlineStr">
        <is>
          <t>AI Implications</t>
        </is>
      </c>
    </row>
    <row r="29" ht="65" customHeight="1">
      <c r="A29" s="5" t="inlineStr">
        <is>
          <t>MANUAL-028</t>
        </is>
      </c>
      <c r="B29" s="5" t="inlineStr">
        <is>
          <t>2026-09-07</t>
        </is>
      </c>
      <c r="C29" s="5" t="inlineStr">
        <is>
          <t>Unknown</t>
        </is>
      </c>
      <c r="D29" s="5" t="inlineStr">
        <is>
          <t>Solo / Unknown</t>
        </is>
      </c>
      <c r="E29" s="5" t="inlineStr">
        <is>
          <t>Opinion Piece</t>
        </is>
      </c>
      <c r="F29" s="6" t="inlineStr">
        <is>
          <t>Evolution In Indian Education: Can Institutions Groom Leaders For Tomorrow</t>
        </is>
      </c>
      <c r="G29" s="6" t="inlineStr">
        <is>
          <t>Monday | Sep 07 2026 | 11:44:54 AM On 13th March 2017, Shri Manohar Parrikar stepped down as the Defense Minister of India and took oath as the Chief Minister of Goa the next day. The Defence ministry was passed on to Shri Arun Jaitley, who was already heading the Ministry of Finance and Ministry of Corporate Affairs at that time. Back in Goa, the potential allies insisted that they would extend support to the BJP, only if Parrikar was brought back from Delhi. A well-performing Defence Minister ...</t>
        </is>
      </c>
      <c r="H29" s="7">
        <f>HYPERLINK("https://www.bweducation.com/article/evolution-in-indian-education-can-institutions-groom-leaders-for-tomorrow-182383", "https://www.bweducation.com/article/evolution-in-indian-education-can-institutions-groom-leaders-for-tomorrow-182383")</f>
        <v/>
      </c>
      <c r="I29" s="5" t="inlineStr">
        <is>
          <t>Education &amp; Pedagogy</t>
        </is>
      </c>
      <c r="J29" s="5" t="inlineStr">
        <is>
          <t>Higher Education</t>
        </is>
      </c>
    </row>
    <row r="30" ht="65" customHeight="1">
      <c r="A30" s="2" t="inlineStr">
        <is>
          <t>MANUAL-029</t>
        </is>
      </c>
      <c r="B30" s="2" t="inlineStr">
        <is>
          <t>2026-09-07</t>
        </is>
      </c>
      <c r="C30" s="2" t="inlineStr">
        <is>
          <t>Unknown</t>
        </is>
      </c>
      <c r="D30" s="2" t="inlineStr">
        <is>
          <t>Solo / Unknown</t>
        </is>
      </c>
      <c r="E30" s="2" t="inlineStr">
        <is>
          <t>Opinion Piece</t>
        </is>
      </c>
      <c r="F30" s="3" t="inlineStr">
        <is>
          <t>Diaspora in Parliament: An idea whose time has come</t>
        </is>
      </c>
      <c r="G30" s="3" t="inlineStr">
        <is>
          <t>ANALYSIS This foreign policy innovation of engaging diaspora back with the motherland through the Parliament will perhaps be the most innovative of them all Shobhit Mathur Updated : Oct 09, 2019, 07:15 AM IST September 22, 2019, is an inflection point in the long journey of the Indian diaspora. #HowdyModi is a first in many ways for its sheer scale and impact. For the first time in recent history, a bipartisan array of lawmakers and the President of the United States of America were being hosted...</t>
        </is>
      </c>
      <c r="H30" s="4">
        <f>HYPERLINK("https://www.dnaindia.com/analysis/column-diaspora-in-parliament-an-idea-whose-time-has-come-2795692", "https://www.dnaindia.com/analysis/column-diaspora-in-parliament-an-idea-whose-time-has-come-2795692")</f>
        <v/>
      </c>
      <c r="I30" s="2" t="inlineStr">
        <is>
          <t>Technology &amp; Innovation</t>
        </is>
      </c>
      <c r="J30" s="2" t="inlineStr">
        <is>
          <t>AI Implications</t>
        </is>
      </c>
    </row>
    <row r="31" ht="65" customHeight="1">
      <c r="A31" s="5" t="inlineStr">
        <is>
          <t>MANUAL-030</t>
        </is>
      </c>
      <c r="B31" s="5" t="inlineStr">
        <is>
          <t>2026-09-07</t>
        </is>
      </c>
      <c r="C31" s="5" t="inlineStr">
        <is>
          <t>Unknown</t>
        </is>
      </c>
      <c r="D31" s="5" t="inlineStr">
        <is>
          <t>Solo / Unknown</t>
        </is>
      </c>
      <c r="E31" s="5" t="inlineStr">
        <is>
          <t>Opinion Piece</t>
        </is>
      </c>
      <c r="F31" s="6" t="inlineStr">
        <is>
          <t>MSME promotion is key to improving India's rural income: Here is why</t>
        </is>
      </c>
      <c r="G31" s="6" t="inlineStr">
        <is>
          <t>Sept 7, 2026 11:29 AM 3 Min Read Sept 7, 2026 7:55 AM 3 Min Read Sept 7, 2026 7:16 AM 2 Min Read Sept 5, 2026 10:46 PM 3 Min Read Sept 7, 2026 1:07 AM 3 Min Read Sept 7, 2026 12:46 AM 1 Min Read Sept 6, 2026 4:41 PM 2 Min Read Sept 6, 2026 4:23 PM 3 Min Read Sept 6, 2026 4:41 PM 3 Min Read Sept 6, 2026 3:12 PM 3 Min Read Sept 6, 2026 11:12 AM 5 Min Read Sept 6, 2026 10:57 AM 5 Min Read Sept 7, 2026 11:14 AM 4 Min Read Sept 7, 2026 9:39 AM 4 Min Read Sept 5, 2026 8:01 PM Sept 5, 2026 6:04 PM 3 Mi...</t>
        </is>
      </c>
      <c r="H31" s="7">
        <f>HYPERLINK("https://www.cnbctv18.com/economy/msme-promotion-is-key-to-improving-indias-rural-income-here-is-why-3825851.htm/", "https://www.cnbctv18.com/economy/msme-promotion-is-key-to-improving-indias-rural-income-here-is-why-3825851.htm/")</f>
        <v/>
      </c>
      <c r="I31" s="5" t="inlineStr">
        <is>
          <t>Uncategorized</t>
        </is>
      </c>
      <c r="J31" s="5" t="inlineStr">
        <is>
          <t>N/A</t>
        </is>
      </c>
    </row>
    <row r="32" ht="65" customHeight="1">
      <c r="A32" s="2" t="inlineStr">
        <is>
          <t>MANUAL-031</t>
        </is>
      </c>
      <c r="B32" s="2" t="inlineStr">
        <is>
          <t>2026-09-07</t>
        </is>
      </c>
      <c r="C32" s="2" t="inlineStr">
        <is>
          <t>Unknown</t>
        </is>
      </c>
      <c r="D32" s="2" t="inlineStr">
        <is>
          <t>Solo / Unknown</t>
        </is>
      </c>
      <c r="E32" s="2" t="inlineStr">
        <is>
          <t>Opinion Piece</t>
        </is>
      </c>
      <c r="F32" s="3" t="inlineStr">
        <is>
          <t>Access Denied</t>
        </is>
      </c>
      <c r="G32" s="3" t="inlineStr">
        <is>
          <t>Reference #18.d1cc517.1788761793.4360cfaa https://errors.edgesuite.net/18.d1cc517.1788761793.4360cfaa</t>
        </is>
      </c>
      <c r="H32" s="4">
        <f>HYPERLINK("https://www.firstpost.com/india/ad-hoc-judicial-appointments-affecting-economy-even-as-indias-high-courts-lack-37-of-required-judges-4346817.html", "https://www.firstpost.com/india/ad-hoc-judicial-appointments-affecting-economy-even-as-indias-high-courts-lack-37-of-required-judges-4346817.html")</f>
        <v/>
      </c>
      <c r="I32" s="2" t="inlineStr">
        <is>
          <t>Uncategorized</t>
        </is>
      </c>
      <c r="J32" s="2" t="inlineStr">
        <is>
          <t>N/A</t>
        </is>
      </c>
    </row>
    <row r="33" ht="65" customHeight="1">
      <c r="A33" s="5" t="inlineStr">
        <is>
          <t>MANUAL-032</t>
        </is>
      </c>
      <c r="B33" s="5" t="inlineStr">
        <is>
          <t>2026-09-07</t>
        </is>
      </c>
      <c r="C33" s="5" t="inlineStr">
        <is>
          <t>Unknown</t>
        </is>
      </c>
      <c r="D33" s="5" t="inlineStr">
        <is>
          <t>Solo / Unknown</t>
        </is>
      </c>
      <c r="E33" s="5" t="inlineStr">
        <is>
          <t>Opinion Piece</t>
        </is>
      </c>
      <c r="F33" s="6" t="inlineStr">
        <is>
          <t>Haphazard Appointment of Judges Worsening Delays in High Courts</t>
        </is>
      </c>
      <c r="G33" s="6" t="inlineStr">
        <is>
          <t>There were over 4.2 million cases pending in the 24 high courts of India on February 4, according to the National Judicial Data Grid. The Allabhad High Court. Photo: PTI Listen to this article: The Allahabad high court has the highest number of pending cases, exceeding 900,000 cases in 2016 and 2017. Credit: PTI New Delhi: High courts nationwide are 37% short of judges, and ad hoc appointments - not posting judges to courts that need them most - are worsening delays and affecting India's economy...</t>
        </is>
      </c>
      <c r="H33" s="7">
        <f>HYPERLINK("https://thewire.in/223263/haphazard-appointment-judges-worsening-delays-high-courts/", "https://thewire.in/223263/haphazard-appointment-judges-worsening-delays-high-courts/")</f>
        <v/>
      </c>
      <c r="I33" s="5" t="inlineStr">
        <is>
          <t>Public Policy &amp; Governance</t>
        </is>
      </c>
      <c r="J33" s="5" t="inlineStr">
        <is>
          <t>Nation-Building</t>
        </is>
      </c>
    </row>
    <row r="34" ht="65" customHeight="1">
      <c r="A34" s="2" t="inlineStr">
        <is>
          <t>MANUAL-033</t>
        </is>
      </c>
      <c r="B34" s="2" t="inlineStr">
        <is>
          <t>2017-04-06</t>
        </is>
      </c>
      <c r="C34" s="2" t="inlineStr">
        <is>
          <t>Unknown</t>
        </is>
      </c>
      <c r="D34" s="2" t="inlineStr">
        <is>
          <t>Solo / Unknown</t>
        </is>
      </c>
      <c r="E34" s="2" t="inlineStr">
        <is>
          <t>Opinion Piece</t>
        </is>
      </c>
      <c r="F34" s="3" t="inlineStr">
        <is>
          <t>Judicial reform in India should start with lower courts - and should look beyond filling vacancies</t>
        </is>
      </c>
      <c r="G34" s="3" t="inlineStr">
        <is>
          <t>Ramachandra Guha: For 120 years, Indian students have fought to change politics and public life In a first, Gauhati HC asks Assam government to pay Rs 2 lakh to woman pushed into Bangladesh Jharkhand SIR: BJP agent held for submitting bulk forms to delete Muslim voters, says report More Indian students are abandoning higher education as degrees no longer seem worth the cost Assam Police arrests 330 persons allegedly involved in fraud, cyber crimes Remembering 'Got Japan': This book dissects uppe...</t>
        </is>
      </c>
      <c r="H34" s="4">
        <f>HYPERLINK("https://scroll.in/article/833357/judicial-reform-in-india-should-start-with-lower-courts-and-should-look-beyond-filling-vacancies", "https://scroll.in/article/833357/judicial-reform-in-india-should-start-with-lower-courts-and-should-look-beyond-filling-vacancies")</f>
        <v/>
      </c>
      <c r="I34" s="2" t="inlineStr">
        <is>
          <t>Education &amp; Pedagogy</t>
        </is>
      </c>
      <c r="J34" s="2" t="inlineStr">
        <is>
          <t>Higher Education</t>
        </is>
      </c>
    </row>
    <row r="35" ht="65" customHeight="1">
      <c r="A35" s="5" t="inlineStr">
        <is>
          <t>MANUAL-034</t>
        </is>
      </c>
      <c r="B35" s="5" t="inlineStr">
        <is>
          <t>2026-09-07</t>
        </is>
      </c>
      <c r="C35" s="5" t="inlineStr">
        <is>
          <t>Unknown</t>
        </is>
      </c>
      <c r="D35" s="5" t="inlineStr">
        <is>
          <t>Solo / Unknown</t>
        </is>
      </c>
      <c r="E35" s="5" t="inlineStr">
        <is>
          <t>Opinion Piece</t>
        </is>
      </c>
      <c r="F35" s="6" t="inlineStr">
        <is>
          <t>Access Denied</t>
        </is>
      </c>
      <c r="G35" s="6" t="inlineStr">
        <is>
          <t>Reference #18.131cc517.1788761866.3b892908 https://errors.edgesuite.net/18.131cc517.1788761866.3b892908</t>
        </is>
      </c>
      <c r="H35" s="7">
        <f>HYPERLINK("https://www.firstpost.com/india/pendency-in-indian-judiciary-why-reform-needs-to-start-with-the-lower-courts-3361444.html", "https://www.firstpost.com/india/pendency-in-indian-judiciary-why-reform-needs-to-start-with-the-lower-courts-3361444.html")</f>
        <v/>
      </c>
      <c r="I35" s="5" t="inlineStr">
        <is>
          <t>Uncategorized</t>
        </is>
      </c>
      <c r="J35" s="5" t="inlineStr">
        <is>
          <t>N/A</t>
        </is>
      </c>
    </row>
    <row r="36" ht="65" customHeight="1">
      <c r="A36" s="2" t="inlineStr">
        <is>
          <t>MANUAL-035</t>
        </is>
      </c>
      <c r="B36" s="2" t="inlineStr">
        <is>
          <t>2026-09-07</t>
        </is>
      </c>
      <c r="C36" s="2" t="inlineStr">
        <is>
          <t>Unknown</t>
        </is>
      </c>
      <c r="D36" s="2" t="inlineStr">
        <is>
          <t>Solo / Unknown</t>
        </is>
      </c>
      <c r="E36" s="2" t="inlineStr">
        <is>
          <t>Opinion Piece</t>
        </is>
      </c>
      <c r="F36" s="3" t="inlineStr">
        <is>
          <t>Access Denied</t>
        </is>
      </c>
      <c r="G36" s="3" t="inlineStr">
        <is>
          <t>Reference #18.c6014017.1788761900.db5d6cbb https://errors.edgesuite.net/18.c6014017.1788761900.db5d6cbb</t>
        </is>
      </c>
      <c r="H36" s="4">
        <f>HYPERLINK("https://www.business-standard.com/article/current-affairs/judicial-reforms-why-lower-courts-should-be-the-first-in-the-line-117033100120_1.html", "https://www.business-standard.com/article/current-affairs/judicial-reforms-why-lower-courts-should-be-the-first-in-the-line-117033100120_1.html")</f>
        <v/>
      </c>
      <c r="I36" s="2" t="inlineStr">
        <is>
          <t>Uncategorized</t>
        </is>
      </c>
      <c r="J36" s="2" t="inlineStr">
        <is>
          <t>N/A</t>
        </is>
      </c>
    </row>
    <row r="37" ht="65" customHeight="1">
      <c r="A37" s="5" t="inlineStr">
        <is>
          <t>MANUAL-036</t>
        </is>
      </c>
      <c r="B37" s="5" t="inlineStr">
        <is>
          <t>2026-09-07</t>
        </is>
      </c>
      <c r="C37" s="5" t="inlineStr">
        <is>
          <t>The Hindu</t>
        </is>
      </c>
      <c r="D37" s="5" t="inlineStr">
        <is>
          <t>Solo / Unknown</t>
        </is>
      </c>
      <c r="E37" s="5" t="inlineStr">
        <is>
          <t>Opinion Piece</t>
        </is>
      </c>
      <c r="F37" s="6" t="inlineStr">
        <is>
          <t>The MGNREGA index</t>
        </is>
      </c>
      <c r="G37" s="6" t="inlineStr">
        <is>
          <t>Your active subscription(s) Products you've access to Additional Subscription Benefits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
        </is>
      </c>
      <c r="H37" s="7">
        <f>HYPERLINK("https://www.thehindu.com/opinion/op-ed/The-MGNREGA-index/article62118778.ece", "https://www.thehindu.com/opinion/op-ed/The-MGNREGA-index/article62118778.ece")</f>
        <v/>
      </c>
      <c r="I37" s="5" t="inlineStr">
        <is>
          <t>Education &amp; Pedagogy</t>
        </is>
      </c>
      <c r="J37" s="5" t="inlineStr">
        <is>
          <t>Systemic Reform</t>
        </is>
      </c>
    </row>
    <row r="38" ht="65" customHeight="1">
      <c r="A38" s="2" t="inlineStr">
        <is>
          <t>MANUAL-037</t>
        </is>
      </c>
      <c r="B38" s="2" t="inlineStr">
        <is>
          <t>2026-09-07</t>
        </is>
      </c>
      <c r="C38" s="2" t="inlineStr">
        <is>
          <t>Unknown</t>
        </is>
      </c>
      <c r="D38" s="2" t="inlineStr">
        <is>
          <t>Solo / Unknown</t>
        </is>
      </c>
      <c r="E38" s="2" t="inlineStr">
        <is>
          <t>Opinion Piece</t>
        </is>
      </c>
      <c r="F38" s="3" t="inlineStr">
        <is>
          <t>In India's district courts, a crisis is revealed</t>
        </is>
      </c>
      <c r="G38" s="3" t="inlineStr">
        <is>
          <t>Get daily news, magazine notifications, invitation to foundation events, personal finance emails &amp; much more...</t>
        </is>
      </c>
      <c r="H38" s="4">
        <f>HYPERLINK("https://www.moneylife.in/article/in-indias-district-courts-a-crisis-is-revealed/46359.html", "https://www.moneylife.in/article/in-indias-district-courts-a-crisis-is-revealed/46359.html")</f>
        <v/>
      </c>
      <c r="I38" s="2" t="inlineStr">
        <is>
          <t>Technology &amp; Innovation</t>
        </is>
      </c>
      <c r="J38" s="2" t="inlineStr">
        <is>
          <t>AI Implications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9"/>
  <sheetViews>
    <sheetView showGridLines="1" workbookViewId="0">
      <selection activeCell="A1" sqref="A1"/>
    </sheetView>
  </sheetViews>
  <sheetFormatPr baseColWidth="8" defaultRowHeight="15"/>
  <cols>
    <col width="10" customWidth="1" min="1" max="1"/>
    <col width="13" customWidth="1" min="2" max="2"/>
    <col width="20" customWidth="1" min="3" max="3"/>
    <col width="18" customWidth="1" min="4" max="4"/>
    <col width="18" customWidth="1" min="5" max="5"/>
    <col width="38" customWidth="1" min="6" max="6"/>
    <col width="50" customWidth="1" min="7" max="7"/>
    <col width="38" customWidth="1" min="8" max="8"/>
    <col width="24" customWidth="1" min="9" max="9"/>
    <col width="24" customWidth="1" min="10" max="10"/>
  </cols>
  <sheetData>
    <row r="1" ht="28" customHeight="1">
      <c r="A1" s="8" t="inlineStr">
        <is>
          <t>ID</t>
        </is>
      </c>
      <c r="B1" s="8" t="inlineStr">
        <is>
          <t>Date</t>
        </is>
      </c>
      <c r="C1" s="8" t="inlineStr">
        <is>
          <t>Publication</t>
        </is>
      </c>
      <c r="D1" s="8" t="inlineStr">
        <is>
          <t>Co-Authors</t>
        </is>
      </c>
      <c r="E1" s="8" t="inlineStr">
        <is>
          <t>Content Type</t>
        </is>
      </c>
      <c r="F1" s="8" t="inlineStr">
        <is>
          <t>Article Title</t>
        </is>
      </c>
      <c r="G1" s="8" t="inlineStr">
        <is>
          <t>Post Content (Author Commentary)</t>
        </is>
      </c>
      <c r="H1" s="8" t="inlineStr">
        <is>
          <t>URL</t>
        </is>
      </c>
      <c r="I1" s="8" t="inlineStr">
        <is>
          <t>Primary Classification</t>
        </is>
      </c>
      <c r="J1" s="8" t="inlineStr">
        <is>
          <t>Sub-classification</t>
        </is>
      </c>
    </row>
    <row r="2" ht="65" customHeight="1">
      <c r="A2" s="2" t="inlineStr">
        <is>
          <t>MANUAL-001</t>
        </is>
      </c>
      <c r="B2" s="2" t="inlineStr">
        <is>
          <t>2026-08-27</t>
        </is>
      </c>
      <c r="C2" s="2" t="inlineStr">
        <is>
          <t>ThePrint</t>
        </is>
      </c>
      <c r="D2" s="2" t="inlineStr">
        <is>
          <t>Solo / Unknown</t>
        </is>
      </c>
      <c r="E2" s="2" t="inlineStr">
        <is>
          <t>Opinion Piece</t>
        </is>
      </c>
      <c r="F2" s="3" t="inlineStr">
        <is>
          <t>Gen Z is rewriting the rules of workplace authority. It's a generational transition</t>
        </is>
      </c>
      <c r="G2" s="3" t="inlineStr">
        <is>
          <t>9th Anniversary: Free Tote &amp; Mug T he protests in New Delhi that led to the resignation of the then Union Education Minister Dharmendra Pradhan have understandably been interpreted through a political lens. Yet, beneath the debates over demands, slogans and governmental response lies a more enduring story. LATEST North Korea's Kim Jong Un says new destroyer will be p At least 5 killed in Amazon Prime Air cargo plane crash in M India-France relations have reached new heights: PM Modi Loyalty of B...</t>
        </is>
      </c>
      <c r="H2" s="4">
        <f>HYPERLINK("https://theprint.in/opinion/gen-z-rules-workplace-authority-generational-transition/3026109/", "https://theprint.in/opinion/gen-z-rules-workplace-authority-generational-transition/3026109/")</f>
        <v/>
      </c>
      <c r="I2" s="2" t="inlineStr">
        <is>
          <t>Education &amp; Pedagogy</t>
        </is>
      </c>
      <c r="J2" s="2" t="inlineStr">
        <is>
          <t>Higher Education</t>
        </is>
      </c>
    </row>
    <row r="3" ht="65" customHeight="1">
      <c r="A3" s="5" t="inlineStr">
        <is>
          <t>MANUAL-002</t>
        </is>
      </c>
      <c r="B3" s="5" t="inlineStr">
        <is>
          <t>2026-09-07</t>
        </is>
      </c>
      <c r="C3" s="5" t="inlineStr">
        <is>
          <t>The Hindu</t>
        </is>
      </c>
      <c r="D3" s="5" t="inlineStr">
        <is>
          <t>Solo / Unknown</t>
        </is>
      </c>
      <c r="E3" s="5" t="inlineStr">
        <is>
          <t>Opinion Piece</t>
        </is>
      </c>
      <c r="F3" s="6" t="inlineStr">
        <is>
          <t>How the NEET can be restructured to end question paper leaks</t>
        </is>
      </c>
      <c r="G3" s="6" t="inlineStr">
        <is>
          <t>Your active subscription(s) Products you've access to Additional Subscription Benefits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
        </is>
      </c>
      <c r="H3" s="7">
        <f>HYPERLINK("https://www.thehindu.com/education/how-the-neet-can-be-restructured-to-end-question-paper-leaks/article71279765.ece", "https://www.thehindu.com/education/how-the-neet-can-be-restructured-to-end-question-paper-leaks/article71279765.ece")</f>
        <v/>
      </c>
      <c r="I3" s="5" t="inlineStr">
        <is>
          <t>Education &amp; Pedagogy</t>
        </is>
      </c>
      <c r="J3" s="5" t="inlineStr">
        <is>
          <t>Higher Education</t>
        </is>
      </c>
    </row>
    <row r="4" ht="65" customHeight="1">
      <c r="A4" s="2" t="inlineStr">
        <is>
          <t>MANUAL-003</t>
        </is>
      </c>
      <c r="B4" s="2" t="inlineStr">
        <is>
          <t>2026-07-29</t>
        </is>
      </c>
      <c r="C4" s="2" t="inlineStr">
        <is>
          <t>ThePrint</t>
        </is>
      </c>
      <c r="D4" s="2" t="inlineStr">
        <is>
          <t>Solo / Unknown</t>
        </is>
      </c>
      <c r="E4" s="2" t="inlineStr">
        <is>
          <t>Opinion Piece</t>
        </is>
      </c>
      <c r="F4" s="3" t="inlineStr">
        <is>
          <t>India topped the Physics Olympiad. Now it needs schools built for minds like these</t>
        </is>
      </c>
      <c r="G4" s="3" t="inlineStr">
        <is>
          <t>9th Anniversary: Free Tote &amp; Mug L ast month, India achieved something extraordinary. For the second time in its history, all five members of the Indian team at the International Physics Olympiad won gold medals, placing India joint first in the world alongside China, South Korea, Kazakhstan, Russia and Taiwan. These students competed against 381 of the world's brightest school students from 87 countries. Later, the Indian team also swept the gold medals in the International Chemistry Olympiad f...</t>
        </is>
      </c>
      <c r="H4" s="4">
        <f>HYPERLINK("https://theprint.in/opinion/india-topped-the-physics-olympiad-now-it-needs-schools-built-for-minds-like-these/2999476/", "https://theprint.in/opinion/india-topped-the-physics-olympiad-now-it-needs-schools-built-for-minds-like-these/2999476/")</f>
        <v/>
      </c>
      <c r="I4" s="2" t="inlineStr">
        <is>
          <t>Education &amp; Pedagogy</t>
        </is>
      </c>
      <c r="J4" s="2" t="inlineStr">
        <is>
          <t>Higher Education</t>
        </is>
      </c>
    </row>
    <row r="5" ht="65" customHeight="1">
      <c r="A5" s="5" t="inlineStr">
        <is>
          <t>MANUAL-004</t>
        </is>
      </c>
      <c r="B5" s="5" t="inlineStr">
        <is>
          <t>2026-07-15</t>
        </is>
      </c>
      <c r="C5" s="5" t="inlineStr">
        <is>
          <t>Hindustan Times</t>
        </is>
      </c>
      <c r="D5" s="5" t="inlineStr">
        <is>
          <t>Solo / Unknown</t>
        </is>
      </c>
      <c r="E5" s="5" t="inlineStr">
        <is>
          <t>Opinion Piece</t>
        </is>
      </c>
      <c r="F5" s="6" t="inlineStr">
        <is>
          <t>India needs policy support for entrepreneurial universities</t>
        </is>
      </c>
      <c r="G5" s="6" t="inlineStr">
        <is>
          <t>Subscribe Now! Get features like By the end of 2024, India had established itself as the third-largest startup ecosystem in the world, with over 1.57 lakh recognised startups. Yet this rise has not translated into an academically grounded innovation culture. India's universities have fallen well short of their potential as crucibles for entrepreneurial innovation. A study timed to India's 100th unicorn milestone in June 2022 found that over 50% of those unicorns were founded by IIT graduates, an...</t>
        </is>
      </c>
      <c r="H5" s="7">
        <f>HYPERLINK("https://www.hindustantimes.com/ht-insight/knowledge/india-needs-policy-support-for-entrepreneurial-universities-101784099782572.html", "https://www.hindustantimes.com/ht-insight/knowledge/india-needs-policy-support-for-entrepreneurial-universities-101784099782572.html")</f>
        <v/>
      </c>
      <c r="I5" s="5" t="inlineStr">
        <is>
          <t>Education &amp; Pedagogy</t>
        </is>
      </c>
      <c r="J5" s="5" t="inlineStr">
        <is>
          <t>Higher Education</t>
        </is>
      </c>
    </row>
    <row r="6" ht="65" customHeight="1">
      <c r="A6" s="2" t="inlineStr">
        <is>
          <t>MANUAL-005</t>
        </is>
      </c>
      <c r="B6" s="2" t="inlineStr">
        <is>
          <t>2026-07-07</t>
        </is>
      </c>
      <c r="C6" s="2" t="inlineStr">
        <is>
          <t>ThePrint</t>
        </is>
      </c>
      <c r="D6" s="2" t="inlineStr">
        <is>
          <t>Solo / Unknown</t>
        </is>
      </c>
      <c r="E6" s="2" t="inlineStr">
        <is>
          <t>Opinion Piece</t>
        </is>
      </c>
      <c r="F6" s="3" t="inlineStr">
        <is>
          <t>What India can learn from America at 250</t>
        </is>
      </c>
      <c r="G6" s="3" t="inlineStr">
        <is>
          <t>9th Anniversary: Free Tote &amp; Mug A merica began, in a curious sense, as a failed search for India. When Christopher Columbus sailed west in 1492, he was looking for a route to Asia and the Indies. He found the Americas instead. History has a taste for irony. More than five centuries later, and 250 years after the American Declaration of Independence, India can profitably look west and ask what it might learn from the country that emerged from that accidental encounter. LATEST North Korea's Kim J...</t>
        </is>
      </c>
      <c r="H6" s="4">
        <f>HYPERLINK("https://theprint.in/opinion/india-can-learn-from-america-at-250/2979197/", "https://theprint.in/opinion/india-can-learn-from-america-at-250/2979197/")</f>
        <v/>
      </c>
      <c r="I6" s="2" t="inlineStr">
        <is>
          <t>Education &amp; Pedagogy</t>
        </is>
      </c>
      <c r="J6" s="2" t="inlineStr">
        <is>
          <t>Higher Education</t>
        </is>
      </c>
    </row>
    <row r="7" ht="65" customHeight="1">
      <c r="A7" s="5" t="inlineStr">
        <is>
          <t>MANUAL-006</t>
        </is>
      </c>
      <c r="B7" s="5" t="inlineStr">
        <is>
          <t>2026-09-07</t>
        </is>
      </c>
      <c r="C7" s="5" t="inlineStr">
        <is>
          <t>Unknown</t>
        </is>
      </c>
      <c r="D7" s="5" t="inlineStr">
        <is>
          <t>Solo / Unknown</t>
        </is>
      </c>
      <c r="E7" s="5" t="inlineStr">
        <is>
          <t>Opinion Piece</t>
        </is>
      </c>
      <c r="F7" s="6" t="inlineStr">
        <is>
          <t>Can Indian Universities Create Ethical Leaders in the AI Era?</t>
        </is>
      </c>
      <c r="G7" s="6" t="inlineStr">
        <is>
          <t>Monday | Sep 07 2026 | 11:34:42 AM Given the pace at which artificial intelligence (AI) is reshaping industry, education and public life, universities in India are racing to prepare students for an AI-driven economy. Yet technical training alone will not suffice. AI education also needs to factor in an ethical code of conduct for its proper implementation and use. During a recent visit to Silicon Valley, it struck me that while coders are available in abundance, there are very few who are guided...</t>
        </is>
      </c>
      <c r="H7" s="7">
        <f>HYPERLINK("https://www.bweducation.com/article/can-indian-universities-create-ethical-leaders-in-the-ai-era-613101", "https://www.bweducation.com/article/can-indian-universities-create-ethical-leaders-in-the-ai-era-613101")</f>
        <v/>
      </c>
      <c r="I7" s="5" t="inlineStr">
        <is>
          <t>Education &amp; Pedagogy</t>
        </is>
      </c>
      <c r="J7" s="5" t="inlineStr">
        <is>
          <t>Higher Education</t>
        </is>
      </c>
    </row>
    <row r="8" ht="65" customHeight="1">
      <c r="A8" s="2" t="inlineStr">
        <is>
          <t>MANUAL-007</t>
        </is>
      </c>
      <c r="B8" s="2" t="inlineStr">
        <is>
          <t>2026-09-07</t>
        </is>
      </c>
      <c r="C8" s="2" t="inlineStr">
        <is>
          <t>Unknown</t>
        </is>
      </c>
      <c r="D8" s="2" t="inlineStr">
        <is>
          <t>Solo / Unknown</t>
        </is>
      </c>
      <c r="E8" s="2" t="inlineStr">
        <is>
          <t>Opinion Piece</t>
        </is>
      </c>
      <c r="F8" s="3" t="inlineStr">
        <is>
          <t>Global Labour Shift: How India Is Becoming the World's Skilled Workforce Hub</t>
        </is>
      </c>
      <c r="G8" s="3" t="inlineStr">
        <is>
          <t>A Russian construction firm trains Indian recruits on-site to fit glass and aluminum because it cannot find enough workers at home. A Japanese care-home operator flies six Indian nurses to Osaka for nine months of language instruction before letting them near a patient. An Israeli builder, stripped of the Palestinian workforce he relied on for decades, tells officials he needs "close to 100,000" Indian workers to restart construction. These are not isolated anecdotes. They are data points in one...</t>
        </is>
      </c>
      <c r="H8" s="4">
        <f>HYPERLINK("https://dailypioneer.com/news/the-export-of-skill-the-risk-of-scarcity", "https://dailypioneer.com/news/the-export-of-skill-the-risk-of-scarcity")</f>
        <v/>
      </c>
      <c r="I8" s="2" t="inlineStr">
        <is>
          <t>Education &amp; Pedagogy</t>
        </is>
      </c>
      <c r="J8" s="2" t="inlineStr">
        <is>
          <t>Higher Education</t>
        </is>
      </c>
    </row>
    <row r="9" ht="65" customHeight="1">
      <c r="A9" s="5" t="inlineStr">
        <is>
          <t>MANUAL-008</t>
        </is>
      </c>
      <c r="B9" s="5" t="inlineStr">
        <is>
          <t>2026-06-19</t>
        </is>
      </c>
      <c r="C9" s="5" t="inlineStr">
        <is>
          <t>ThePrint</t>
        </is>
      </c>
      <c r="D9" s="5" t="inlineStr">
        <is>
          <t>Solo / Unknown</t>
        </is>
      </c>
      <c r="E9" s="5" t="inlineStr">
        <is>
          <t>Opinion Piece</t>
        </is>
      </c>
      <c r="F9" s="6" t="inlineStr">
        <is>
          <t>Digital sovereignty in India: Why data localisation isn't enough in AI age</t>
        </is>
      </c>
      <c r="G9" s="6" t="inlineStr">
        <is>
          <t>9th Anniversary: Free Tote &amp; Mug I ndia's digital sovereignty debate is still trapped in a misleading image: the server. For years, the public conversation around digital sovereignty focused on where data physically sits. If Indian data is stored inside India, we assume India is sovereign over it. That assumption made sense in an earlier internet era. It is no longer sufficient in the age of cloud computing and artificial intelligence. LATEST North Korea's Kim Jong Un says new destroyer will be ...</t>
        </is>
      </c>
      <c r="H9" s="7">
        <f>HYPERLINK("https://theprint.in/opinion/digital-sovereignty-india-data-localisation-ai/2963941/", "https://theprint.in/opinion/digital-sovereignty-india-data-localisation-ai/2963941/")</f>
        <v/>
      </c>
      <c r="I9" s="5" t="inlineStr">
        <is>
          <t>Education &amp; Pedagogy</t>
        </is>
      </c>
      <c r="J9" s="5" t="inlineStr">
        <is>
          <t>Higher Education</t>
        </is>
      </c>
    </row>
    <row r="10" ht="65" customHeight="1">
      <c r="A10" s="2" t="inlineStr">
        <is>
          <t>MANUAL-010</t>
        </is>
      </c>
      <c r="B10" s="2" t="inlineStr">
        <is>
          <t>2026-04-21</t>
        </is>
      </c>
      <c r="C10" s="2" t="inlineStr">
        <is>
          <t>ThePrint</t>
        </is>
      </c>
      <c r="D10" s="2" t="inlineStr">
        <is>
          <t>Solo / Unknown</t>
        </is>
      </c>
      <c r="E10" s="2" t="inlineStr">
        <is>
          <t>Opinion Piece</t>
        </is>
      </c>
      <c r="F10" s="3" t="inlineStr">
        <is>
          <t>University townships - India can do what US got right</t>
        </is>
      </c>
      <c r="G10" s="3" t="inlineStr">
        <is>
          <t>9th Anniversary: Free Tote &amp; Mug W hile India's universities largely operate in silos, each with its own labs and computing centres, the US has built great university ecosystems such as Research Triangle Park and the Boston-Cambridge corridor. In the second model, money saved on duplicated infrastructure can be redirected towards faculty, fellowships, and genuine research. LATEST North Korea's Kim Jong Un says new destroyer will be p At least 5 killed in Amazon Prime Air cargo plane crash in M I...</t>
        </is>
      </c>
      <c r="H10" s="4">
        <f>HYPERLINK("https://theprint.in/opinion/university-townships-indias-chance-to-build-its-own-version-of-what-america-got-right/2909965/", "https://theprint.in/opinion/university-townships-indias-chance-to-build-its-own-version-of-what-america-got-right/2909965/")</f>
        <v/>
      </c>
      <c r="I10" s="2" t="inlineStr">
        <is>
          <t>Education &amp; Pedagogy</t>
        </is>
      </c>
      <c r="J10" s="2" t="inlineStr">
        <is>
          <t>Higher Education</t>
        </is>
      </c>
    </row>
    <row r="11" ht="65" customHeight="1">
      <c r="A11" s="5" t="inlineStr">
        <is>
          <t>MANUAL-012</t>
        </is>
      </c>
      <c r="B11" s="5" t="inlineStr">
        <is>
          <t>2026-02-11</t>
        </is>
      </c>
      <c r="C11" s="5" t="inlineStr">
        <is>
          <t>ThePrint</t>
        </is>
      </c>
      <c r="D11" s="5" t="inlineStr">
        <is>
          <t>Solo / Unknown</t>
        </is>
      </c>
      <c r="E11" s="5" t="inlineStr">
        <is>
          <t>Opinion Piece</t>
        </is>
      </c>
      <c r="F11" s="6" t="inlineStr">
        <is>
          <t>Why for-profit medical colleges are a step forward</t>
        </is>
      </c>
      <c r="G11" s="6" t="inlineStr">
        <is>
          <t>9th Anniversary: Free Tote &amp; Mug T he National Medical Commission's recent decision to allow for-profit entities to establish medical colleges under the public-private partnership framework marks a rare moment of realism in Indian education policy. At a time when India faces an acute shortage of doctors, mounting pressure on public health infrastructure, and a growing exodus of students seeking medical education abroad, the move directly addresses the most binding constraint in the system: the l...</t>
        </is>
      </c>
      <c r="H11" s="7">
        <f>HYPERLINK("https://theprint.in/opinion/for-profit-medical-colleges-education-ownership/2851299/", "https://theprint.in/opinion/for-profit-medical-colleges-education-ownership/2851299/")</f>
        <v/>
      </c>
      <c r="I11" s="5" t="inlineStr">
        <is>
          <t>Education &amp; Pedagogy</t>
        </is>
      </c>
      <c r="J11" s="5" t="inlineStr">
        <is>
          <t>Higher Education</t>
        </is>
      </c>
    </row>
    <row r="12" ht="65" customHeight="1">
      <c r="A12" s="2" t="inlineStr">
        <is>
          <t>MANUAL-017</t>
        </is>
      </c>
      <c r="B12" s="2" t="inlineStr">
        <is>
          <t>2026-09-07</t>
        </is>
      </c>
      <c r="C12" s="2" t="inlineStr">
        <is>
          <t>The Hindu</t>
        </is>
      </c>
      <c r="D12" s="2" t="inlineStr">
        <is>
          <t>Solo / Unknown</t>
        </is>
      </c>
      <c r="E12" s="2" t="inlineStr">
        <is>
          <t>Opinion Piece</t>
        </is>
      </c>
      <c r="F12" s="3" t="inlineStr">
        <is>
          <t>Emerging trends in Public Policy Education in India</t>
        </is>
      </c>
      <c r="G12" s="3" t="inlineStr">
        <is>
          <t>Your active subscription(s) Products you've access to Additional Subscription Benefits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
        </is>
      </c>
      <c r="H12" s="4">
        <f>HYPERLINK("https://www.thehindu.com/education/emerging-trends-in-public-policy-education-in-india/article68828680.ece", "https://www.thehindu.com/education/emerging-trends-in-public-policy-education-in-india/article68828680.ece")</f>
        <v/>
      </c>
      <c r="I12" s="2" t="inlineStr">
        <is>
          <t>Education &amp; Pedagogy</t>
        </is>
      </c>
      <c r="J12" s="2" t="inlineStr">
        <is>
          <t>Higher Education</t>
        </is>
      </c>
    </row>
    <row r="13" ht="65" customHeight="1">
      <c r="A13" s="5" t="inlineStr">
        <is>
          <t>MANUAL-019</t>
        </is>
      </c>
      <c r="B13" s="5" t="inlineStr">
        <is>
          <t>2026-09-07</t>
        </is>
      </c>
      <c r="C13" s="5" t="inlineStr">
        <is>
          <t>Unknown</t>
        </is>
      </c>
      <c r="D13" s="5" t="inlineStr">
        <is>
          <t>Solo / Unknown</t>
        </is>
      </c>
      <c r="E13" s="5" t="inlineStr">
        <is>
          <t>Opinion Piece</t>
        </is>
      </c>
      <c r="F13" s="6" t="inlineStr">
        <is>
          <t>To escape annual cycle of leaks and stress, India needs a new exam design</t>
        </is>
      </c>
      <c r="G13" s="6" t="inlineStr">
        <is>
          <t>Every summer sees an onslaught of competitive examinations in India, unlike anywhere else in the world. Millions of anxious students, their minds conditioned by years of coaching class regimens, accompanied by nervous parents, descend on designated test centres to undertake make-or-break examinations. The systemic strain of administering such gargantuan single-day tests, which shape the lives of millions, is immense. Despite the best efforts of testing agencies, errors occur, with the result tha...</t>
        </is>
      </c>
      <c r="H13" s="7">
        <f>HYPERLINK("https://indianexpress.com/article/opinion/columns/escape-annual-cycle-leaks-stress-india-exam-design-9409735/", "https://indianexpress.com/article/opinion/columns/escape-annual-cycle-leaks-stress-india-exam-design-9409735/")</f>
        <v/>
      </c>
      <c r="I13" s="5" t="inlineStr">
        <is>
          <t>Education &amp; Pedagogy</t>
        </is>
      </c>
      <c r="J13" s="5" t="inlineStr">
        <is>
          <t>Systemic Reform</t>
        </is>
      </c>
    </row>
    <row r="14" ht="65" customHeight="1">
      <c r="A14" s="2" t="inlineStr">
        <is>
          <t>MANUAL-022</t>
        </is>
      </c>
      <c r="B14" s="2" t="inlineStr">
        <is>
          <t>2026-09-07</t>
        </is>
      </c>
      <c r="C14" s="2" t="inlineStr">
        <is>
          <t>Unknown</t>
        </is>
      </c>
      <c r="D14" s="2" t="inlineStr">
        <is>
          <t>Solo / Unknown</t>
        </is>
      </c>
      <c r="E14" s="2" t="inlineStr">
        <is>
          <t>Opinion Piece</t>
        </is>
      </c>
      <c r="F14" s="3" t="inlineStr">
        <is>
          <t>iit jee preparation: View: Need to go way beyond IITs, JEE to nurture innovation and leadership</t>
        </is>
      </c>
      <c r="G14" s="3" t="inlineStr">
        <is>
          <t>LEVEL UP WITH ETPRIME Special Offer: Flat 40% Off What's Included with ETPrime Membership Trump temper on H-1B visas is forcing Indians to do these things to stay put in US What Adani's US indictment means for India Inc's overseas fundraising Why veterans like Reliance, L&amp;T are on acquisition spree? Aswath Damodaran has an answer. Will China's dollar bond sale in Saudi Arabia trump the US in financial world? Huawei launches its own OS to compete with Google and Apple. But can it win beyond China...</t>
        </is>
      </c>
      <c r="H14" s="4">
        <f>HYPERLINK("https://economictimes.indiatimes.com/opinion/et-commentary/view-need-to-go-way-beyond-iits-jee-to-nurture-innovation-and-leadership/articleshow/109073445.cms", "https://economictimes.indiatimes.com/opinion/et-commentary/view-need-to-go-way-beyond-iits-jee-to-nurture-innovation-and-leadership/articleshow/109073445.cms")</f>
        <v/>
      </c>
      <c r="I14" s="2" t="inlineStr">
        <is>
          <t>Education &amp; Pedagogy</t>
        </is>
      </c>
      <c r="J14" s="2" t="inlineStr">
        <is>
          <t>Systemic Reform</t>
        </is>
      </c>
    </row>
    <row r="15" ht="65" customHeight="1">
      <c r="A15" s="5" t="inlineStr">
        <is>
          <t>MANUAL-024</t>
        </is>
      </c>
      <c r="B15" s="5" t="inlineStr">
        <is>
          <t>2023-08-14</t>
        </is>
      </c>
      <c r="C15" s="5" t="inlineStr">
        <is>
          <t>Hindustan Times</t>
        </is>
      </c>
      <c r="D15" s="5" t="inlineStr">
        <is>
          <t>Solo / Unknown</t>
        </is>
      </c>
      <c r="E15" s="5" t="inlineStr">
        <is>
          <t>Opinion Piece</t>
        </is>
      </c>
      <c r="F15" s="6" t="inlineStr">
        <is>
          <t>The idea of India: Fostering 77 years of inclusive education</t>
        </is>
      </c>
      <c r="G15" s="6" t="inlineStr">
        <is>
          <t>Subscribe Now! Get features like On the dawn of India's 77th Independence Day, the nation, with its rich tapestry of history, culture, and diversity, stands at a significant crossroads. The tricolour unfurls with pride, echoing the dreams, aspirations, and challenges of over a billion souls. Among the myriad sectors that have witnessed progress since 1947, education remains a cornerstone. While the country has made commendable strides in school enrolments, especially post-pandemic, the quality o...</t>
        </is>
      </c>
      <c r="H15" s="7">
        <f>HYPERLINK("https://www.hindustantimes.com/education/features/the-idea-of-india-fostering-77-years-of-inclusive-education-101691998836921.html", "https://www.hindustantimes.com/education/features/the-idea-of-india-fostering-77-years-of-inclusive-education-101691998836921.html")</f>
        <v/>
      </c>
      <c r="I15" s="5" t="inlineStr">
        <is>
          <t>Education &amp; Pedagogy</t>
        </is>
      </c>
      <c r="J15" s="5" t="inlineStr">
        <is>
          <t>Higher Education</t>
        </is>
      </c>
    </row>
    <row r="16" ht="65" customHeight="1">
      <c r="A16" s="2" t="inlineStr">
        <is>
          <t>MANUAL-026</t>
        </is>
      </c>
      <c r="B16" s="2" t="inlineStr">
        <is>
          <t>2026-09-07</t>
        </is>
      </c>
      <c r="C16" s="2" t="inlineStr">
        <is>
          <t>Livemint</t>
        </is>
      </c>
      <c r="D16" s="2" t="inlineStr">
        <is>
          <t>Solo / Unknown</t>
        </is>
      </c>
      <c r="E16" s="2" t="inlineStr">
        <is>
          <t>Opinion Piece</t>
        </is>
      </c>
      <c r="F16" s="3" t="inlineStr">
        <is>
          <t>Indian universities must prepare for foreign competition at home</t>
        </is>
      </c>
      <c r="G16" s="3" t="inlineStr">
        <is>
          <t>This is a Mint Premium article gifted to you.Subscribe to enjoy similar stories. Last year, about 800,000 Indian students went abroad for higher education, and spent 45,000 crore yearly on their tuition fees alone. About 200,000 Indian students chose the US as a destination for their higher education. This was a 19% increase from the previous year. It is estimated that by 2024, 1.8 million students will go abroad and spend about 6.4 trillion in tuition and living expenses: that is, 2.7% of India...</t>
        </is>
      </c>
      <c r="H16" s="4">
        <f>HYPERLINK("https://www.livemint.com/opinion/online-views/indian-universities-must-prepare-for-foreign-competition-at-home-11669829099722.html", "https://www.livemint.com/opinion/online-views/indian-universities-must-prepare-for-foreign-competition-at-home-11669829099722.html")</f>
        <v/>
      </c>
      <c r="I16" s="2" t="inlineStr">
        <is>
          <t>Education &amp; Pedagogy</t>
        </is>
      </c>
      <c r="J16" s="2" t="inlineStr">
        <is>
          <t>Higher Education</t>
        </is>
      </c>
    </row>
    <row r="17" ht="65" customHeight="1">
      <c r="A17" s="5" t="inlineStr">
        <is>
          <t>MANUAL-028</t>
        </is>
      </c>
      <c r="B17" s="5" t="inlineStr">
        <is>
          <t>2026-09-07</t>
        </is>
      </c>
      <c r="C17" s="5" t="inlineStr">
        <is>
          <t>Unknown</t>
        </is>
      </c>
      <c r="D17" s="5" t="inlineStr">
        <is>
          <t>Solo / Unknown</t>
        </is>
      </c>
      <c r="E17" s="5" t="inlineStr">
        <is>
          <t>Opinion Piece</t>
        </is>
      </c>
      <c r="F17" s="6" t="inlineStr">
        <is>
          <t>Evolution In Indian Education: Can Institutions Groom Leaders For Tomorrow</t>
        </is>
      </c>
      <c r="G17" s="6" t="inlineStr">
        <is>
          <t>Monday | Sep 07 2026 | 11:44:54 AM On 13th March 2017, Shri Manohar Parrikar stepped down as the Defense Minister of India and took oath as the Chief Minister of Goa the next day. The Defence ministry was passed on to Shri Arun Jaitley, who was already heading the Ministry of Finance and Ministry of Corporate Affairs at that time. Back in Goa, the potential allies insisted that they would extend support to the BJP, only if Parrikar was brought back from Delhi. A well-performing Defence Minister ...</t>
        </is>
      </c>
      <c r="H17" s="7">
        <f>HYPERLINK("https://www.bweducation.com/article/evolution-in-indian-education-can-institutions-groom-leaders-for-tomorrow-182383", "https://www.bweducation.com/article/evolution-in-indian-education-can-institutions-groom-leaders-for-tomorrow-182383")</f>
        <v/>
      </c>
      <c r="I17" s="5" t="inlineStr">
        <is>
          <t>Education &amp; Pedagogy</t>
        </is>
      </c>
      <c r="J17" s="5" t="inlineStr">
        <is>
          <t>Higher Education</t>
        </is>
      </c>
    </row>
    <row r="18" ht="65" customHeight="1">
      <c r="A18" s="2" t="inlineStr">
        <is>
          <t>MANUAL-033</t>
        </is>
      </c>
      <c r="B18" s="2" t="inlineStr">
        <is>
          <t>2017-04-06</t>
        </is>
      </c>
      <c r="C18" s="2" t="inlineStr">
        <is>
          <t>Unknown</t>
        </is>
      </c>
      <c r="D18" s="2" t="inlineStr">
        <is>
          <t>Solo / Unknown</t>
        </is>
      </c>
      <c r="E18" s="2" t="inlineStr">
        <is>
          <t>Opinion Piece</t>
        </is>
      </c>
      <c r="F18" s="3" t="inlineStr">
        <is>
          <t>Judicial reform in India should start with lower courts - and should look beyond filling vacancies</t>
        </is>
      </c>
      <c r="G18" s="3" t="inlineStr">
        <is>
          <t>Ramachandra Guha: For 120 years, Indian students have fought to change politics and public life In a first, Gauhati HC asks Assam government to pay Rs 2 lakh to woman pushed into Bangladesh Jharkhand SIR: BJP agent held for submitting bulk forms to delete Muslim voters, says report More Indian students are abandoning higher education as degrees no longer seem worth the cost Assam Police arrests 330 persons allegedly involved in fraud, cyber crimes Remembering 'Got Japan': This book dissects uppe...</t>
        </is>
      </c>
      <c r="H18" s="4">
        <f>HYPERLINK("https://scroll.in/article/833357/judicial-reform-in-india-should-start-with-lower-courts-and-should-look-beyond-filling-vacancies", "https://scroll.in/article/833357/judicial-reform-in-india-should-start-with-lower-courts-and-should-look-beyond-filling-vacancies")</f>
        <v/>
      </c>
      <c r="I18" s="2" t="inlineStr">
        <is>
          <t>Education &amp; Pedagogy</t>
        </is>
      </c>
      <c r="J18" s="2" t="inlineStr">
        <is>
          <t>Higher Education</t>
        </is>
      </c>
    </row>
    <row r="19" ht="65" customHeight="1">
      <c r="A19" s="5" t="inlineStr">
        <is>
          <t>MANUAL-036</t>
        </is>
      </c>
      <c r="B19" s="5" t="inlineStr">
        <is>
          <t>2026-09-07</t>
        </is>
      </c>
      <c r="C19" s="5" t="inlineStr">
        <is>
          <t>The Hindu</t>
        </is>
      </c>
      <c r="D19" s="5" t="inlineStr">
        <is>
          <t>Solo / Unknown</t>
        </is>
      </c>
      <c r="E19" s="5" t="inlineStr">
        <is>
          <t>Opinion Piece</t>
        </is>
      </c>
      <c r="F19" s="6" t="inlineStr">
        <is>
          <t>The MGNREGA index</t>
        </is>
      </c>
      <c r="G19" s="6" t="inlineStr">
        <is>
          <t>Your active subscription(s) Products you've access to Additional Subscription Benefits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
        </is>
      </c>
      <c r="H19" s="7">
        <f>HYPERLINK("https://www.thehindu.com/opinion/op-ed/The-MGNREGA-index/article62118778.ece", "https://www.thehindu.com/opinion/op-ed/The-MGNREGA-index/article62118778.ece")</f>
        <v/>
      </c>
      <c r="I19" s="5" t="inlineStr">
        <is>
          <t>Education &amp; Pedagogy</t>
        </is>
      </c>
      <c r="J19" s="5" t="inlineStr">
        <is>
          <t>Systemic Reform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
  <sheetViews>
    <sheetView showGridLines="1" workbookViewId="0">
      <selection activeCell="A1" sqref="A1"/>
    </sheetView>
  </sheetViews>
  <sheetFormatPr baseColWidth="8" defaultRowHeight="15"/>
  <cols>
    <col width="10" customWidth="1" min="1" max="1"/>
    <col width="13" customWidth="1" min="2" max="2"/>
    <col width="20" customWidth="1" min="3" max="3"/>
    <col width="18" customWidth="1" min="4" max="4"/>
    <col width="18" customWidth="1" min="5" max="5"/>
    <col width="38" customWidth="1" min="6" max="6"/>
    <col width="50" customWidth="1" min="7" max="7"/>
    <col width="38" customWidth="1" min="8" max="8"/>
    <col width="24" customWidth="1" min="9" max="9"/>
    <col width="24" customWidth="1" min="10" max="10"/>
  </cols>
  <sheetData>
    <row r="1" ht="28" customHeight="1">
      <c r="A1" s="9" t="inlineStr">
        <is>
          <t>ID</t>
        </is>
      </c>
      <c r="B1" s="9" t="inlineStr">
        <is>
          <t>Date</t>
        </is>
      </c>
      <c r="C1" s="9" t="inlineStr">
        <is>
          <t>Publication</t>
        </is>
      </c>
      <c r="D1" s="9" t="inlineStr">
        <is>
          <t>Co-Authors</t>
        </is>
      </c>
      <c r="E1" s="9" t="inlineStr">
        <is>
          <t>Content Type</t>
        </is>
      </c>
      <c r="F1" s="9" t="inlineStr">
        <is>
          <t>Article Title</t>
        </is>
      </c>
      <c r="G1" s="9" t="inlineStr">
        <is>
          <t>Post Content (Author Commentary)</t>
        </is>
      </c>
      <c r="H1" s="9" t="inlineStr">
        <is>
          <t>URL</t>
        </is>
      </c>
      <c r="I1" s="9" t="inlineStr">
        <is>
          <t>Primary Classification</t>
        </is>
      </c>
      <c r="J1" s="9" t="inlineStr">
        <is>
          <t>Sub-classification</t>
        </is>
      </c>
    </row>
    <row r="2" ht="65" customHeight="1">
      <c r="A2" s="2" t="inlineStr">
        <is>
          <t>MANUAL-011</t>
        </is>
      </c>
      <c r="B2" s="2" t="inlineStr">
        <is>
          <t>2026-09-07</t>
        </is>
      </c>
      <c r="C2" s="2" t="inlineStr">
        <is>
          <t>Unknown</t>
        </is>
      </c>
      <c r="D2" s="2" t="inlineStr">
        <is>
          <t>Solo / Unknown</t>
        </is>
      </c>
      <c r="E2" s="2" t="inlineStr">
        <is>
          <t>Opinion Piece</t>
        </is>
      </c>
      <c r="F2" s="3" t="inlineStr">
        <is>
          <t>India's permanent Government in a temporary world</t>
        </is>
      </c>
      <c r="G2" s="3" t="inlineStr">
        <is>
          <t>The world is being rewritten faster than any government can track. Artificial intelligence is automating entire categories of administrative work. Digital citizen services have raised public expectations to a standard set by the private sector. A restructuring global trade and technology order is placing demands on India's regulatory and diplomatic institutions that are qualitatively different from anything their officers were trained to handle. Most governments respond to this kind of disruptio...</t>
        </is>
      </c>
      <c r="H2" s="4">
        <f>HYPERLINK("https://dailypioneer.com/news/india-s-permanent-government-in-a-temporary-world", "https://dailypioneer.com/news/india-s-permanent-government-in-a-temporary-world")</f>
        <v/>
      </c>
      <c r="I2" s="2" t="inlineStr">
        <is>
          <t>Public Policy &amp; Governance</t>
        </is>
      </c>
      <c r="J2" s="2" t="inlineStr">
        <is>
          <t>Civic Systems</t>
        </is>
      </c>
    </row>
    <row r="3" ht="65" customHeight="1">
      <c r="A3" s="5" t="inlineStr">
        <is>
          <t>MANUAL-032</t>
        </is>
      </c>
      <c r="B3" s="5" t="inlineStr">
        <is>
          <t>2026-09-07</t>
        </is>
      </c>
      <c r="C3" s="5" t="inlineStr">
        <is>
          <t>Unknown</t>
        </is>
      </c>
      <c r="D3" s="5" t="inlineStr">
        <is>
          <t>Solo / Unknown</t>
        </is>
      </c>
      <c r="E3" s="5" t="inlineStr">
        <is>
          <t>Opinion Piece</t>
        </is>
      </c>
      <c r="F3" s="6" t="inlineStr">
        <is>
          <t>Haphazard Appointment of Judges Worsening Delays in High Courts</t>
        </is>
      </c>
      <c r="G3" s="6" t="inlineStr">
        <is>
          <t>There were over 4.2 million cases pending in the 24 high courts of India on February 4, according to the National Judicial Data Grid. The Allabhad High Court. Photo: PTI Listen to this article: The Allahabad high court has the highest number of pending cases, exceeding 900,000 cases in 2016 and 2017. Credit: PTI New Delhi: High courts nationwide are 37% short of judges, and ad hoc appointments - not posting judges to courts that need them most - are worsening delays and affecting India's economy...</t>
        </is>
      </c>
      <c r="H3" s="7">
        <f>HYPERLINK("https://thewire.in/223263/haphazard-appointment-judges-worsening-delays-high-courts/", "https://thewire.in/223263/haphazard-appointment-judges-worsening-delays-high-courts/")</f>
        <v/>
      </c>
      <c r="I3" s="5" t="inlineStr">
        <is>
          <t>Public Policy &amp; Governance</t>
        </is>
      </c>
      <c r="J3" s="5" t="inlineStr">
        <is>
          <t>Nation-Building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
  <sheetViews>
    <sheetView showGridLines="1" workbookViewId="0">
      <selection activeCell="A1" sqref="A1"/>
    </sheetView>
  </sheetViews>
  <sheetFormatPr baseColWidth="8" defaultRowHeight="15"/>
  <cols>
    <col width="10" customWidth="1" min="1" max="1"/>
    <col width="13" customWidth="1" min="2" max="2"/>
    <col width="20" customWidth="1" min="3" max="3"/>
    <col width="18" customWidth="1" min="4" max="4"/>
    <col width="18" customWidth="1" min="5" max="5"/>
    <col width="38" customWidth="1" min="6" max="6"/>
    <col width="50" customWidth="1" min="7" max="7"/>
    <col width="38" customWidth="1" min="8" max="8"/>
    <col width="24" customWidth="1" min="9" max="9"/>
    <col width="24" customWidth="1" min="10" max="10"/>
  </cols>
  <sheetData>
    <row r="1" ht="28" customHeight="1">
      <c r="A1" s="10" t="inlineStr">
        <is>
          <t>ID</t>
        </is>
      </c>
      <c r="B1" s="10" t="inlineStr">
        <is>
          <t>Date</t>
        </is>
      </c>
      <c r="C1" s="10" t="inlineStr">
        <is>
          <t>Publication</t>
        </is>
      </c>
      <c r="D1" s="10" t="inlineStr">
        <is>
          <t>Co-Authors</t>
        </is>
      </c>
      <c r="E1" s="10" t="inlineStr">
        <is>
          <t>Content Type</t>
        </is>
      </c>
      <c r="F1" s="10" t="inlineStr">
        <is>
          <t>Article Title</t>
        </is>
      </c>
      <c r="G1" s="10" t="inlineStr">
        <is>
          <t>Post Content (Author Commentary)</t>
        </is>
      </c>
      <c r="H1" s="10" t="inlineStr">
        <is>
          <t>URL</t>
        </is>
      </c>
      <c r="I1" s="10" t="inlineStr">
        <is>
          <t>Primary Classification</t>
        </is>
      </c>
      <c r="J1" s="10" t="inlineStr">
        <is>
          <t>Sub-classification</t>
        </is>
      </c>
    </row>
    <row r="2" ht="65" customHeight="1">
      <c r="A2" s="2" t="inlineStr">
        <is>
          <t>MANUAL-018</t>
        </is>
      </c>
      <c r="B2" s="2" t="inlineStr">
        <is>
          <t>2026-09-07</t>
        </is>
      </c>
      <c r="C2" s="2" t="inlineStr">
        <is>
          <t>Unknown</t>
        </is>
      </c>
      <c r="D2" s="2" t="inlineStr">
        <is>
          <t>Solo / Unknown</t>
        </is>
      </c>
      <c r="E2" s="2" t="inlineStr">
        <is>
          <t>Opinion Piece</t>
        </is>
      </c>
      <c r="F2" s="3" t="inlineStr">
        <is>
          <t>Wealth management and the triple multiplier effect</t>
        </is>
      </c>
      <c r="G2" s="3" t="inlineStr">
        <is>
          <t>This growth is underpinned by the 'Triple Multiplier Effect' - the confluence of rising High Networth Individuals (HNI) investors, asset appreciation, and savings from incremental growth in income. (What's moving Sensex and Nifty Track latest market news, stock tips, Budget 2025, Share Market on Budget 2025 and expert advice, on ETMarkets. Also, ETMarkets.com is now on Telegram. For fastest news alerts on financial markets, investment strategies and stocks alerts, subscribe to our Telegram feeds...</t>
        </is>
      </c>
      <c r="H2" s="4">
        <f>HYPERLINK("https://economictimes.indiatimes.com/markets/stocks/news/wealth-management-and-the-triple-multiplier-effect/articleshow/113143926.cms", "https://economictimes.indiatimes.com/markets/stocks/news/wealth-management-and-the-triple-multiplier-effect/articleshow/113143926.cms")</f>
        <v/>
      </c>
      <c r="I2" s="2" t="inlineStr">
        <is>
          <t>Technology &amp; Innovation</t>
        </is>
      </c>
      <c r="J2" s="2" t="inlineStr">
        <is>
          <t>AI Implications</t>
        </is>
      </c>
    </row>
    <row r="3" ht="65" customHeight="1">
      <c r="A3" s="5" t="inlineStr">
        <is>
          <t>MANUAL-027</t>
        </is>
      </c>
      <c r="B3" s="5" t="inlineStr">
        <is>
          <t>2026-09-07</t>
        </is>
      </c>
      <c r="C3" s="5" t="inlineStr">
        <is>
          <t>Unknown</t>
        </is>
      </c>
      <c r="D3" s="5" t="inlineStr">
        <is>
          <t>Solo / Unknown</t>
        </is>
      </c>
      <c r="E3" s="5" t="inlineStr">
        <is>
          <t>Opinion Piece</t>
        </is>
      </c>
      <c r="F3" s="6" t="inlineStr">
        <is>
          <t>Inflating Orders Can Worsen Supply Chain Uncertainty</t>
        </is>
      </c>
      <c r="G3" s="6" t="inlineStr">
        <is>
          <t>by Tarikere T. Niranjan, Shobhit Mathur, Narendra Kumar Ghosalya and Nagesh Gavirneni Global supply chains are facing unprecedented inventory shortages due to massive disruptions caused by the Covid-19 pandemic, geopolitical conflicts, trade wars, and extreme weather events. Procurement managers, worried that they may not receive the materials they need, order higher quantities than what their manufacturing or service operations actually need. Explore More Like This</t>
        </is>
      </c>
      <c r="H3" s="7">
        <f>HYPERLINK("https://hbr.org/2022/10/inflating-orders-can-worsen-supply-chain-uncertainty", "https://hbr.org/2022/10/inflating-orders-can-worsen-supply-chain-uncertainty")</f>
        <v/>
      </c>
      <c r="I3" s="5" t="inlineStr">
        <is>
          <t>Technology &amp; Innovation</t>
        </is>
      </c>
      <c r="J3" s="5" t="inlineStr">
        <is>
          <t>AI Implications</t>
        </is>
      </c>
    </row>
    <row r="4" ht="65" customHeight="1">
      <c r="A4" s="2" t="inlineStr">
        <is>
          <t>MANUAL-029</t>
        </is>
      </c>
      <c r="B4" s="2" t="inlineStr">
        <is>
          <t>2026-09-07</t>
        </is>
      </c>
      <c r="C4" s="2" t="inlineStr">
        <is>
          <t>Unknown</t>
        </is>
      </c>
      <c r="D4" s="2" t="inlineStr">
        <is>
          <t>Solo / Unknown</t>
        </is>
      </c>
      <c r="E4" s="2" t="inlineStr">
        <is>
          <t>Opinion Piece</t>
        </is>
      </c>
      <c r="F4" s="3" t="inlineStr">
        <is>
          <t>Diaspora in Parliament: An idea whose time has come</t>
        </is>
      </c>
      <c r="G4" s="3" t="inlineStr">
        <is>
          <t>ANALYSIS This foreign policy innovation of engaging diaspora back with the motherland through the Parliament will perhaps be the most innovative of them all Shobhit Mathur Updated : Oct 09, 2019, 07:15 AM IST September 22, 2019, is an inflection point in the long journey of the Indian diaspora. #HowdyModi is a first in many ways for its sheer scale and impact. For the first time in recent history, a bipartisan array of lawmakers and the President of the United States of America were being hosted...</t>
        </is>
      </c>
      <c r="H4" s="4">
        <f>HYPERLINK("https://www.dnaindia.com/analysis/column-diaspora-in-parliament-an-idea-whose-time-has-come-2795692", "https://www.dnaindia.com/analysis/column-diaspora-in-parliament-an-idea-whose-time-has-come-2795692")</f>
        <v/>
      </c>
      <c r="I4" s="2" t="inlineStr">
        <is>
          <t>Technology &amp; Innovation</t>
        </is>
      </c>
      <c r="J4" s="2" t="inlineStr">
        <is>
          <t>AI Implications</t>
        </is>
      </c>
    </row>
    <row r="5" ht="65" customHeight="1">
      <c r="A5" s="5" t="inlineStr">
        <is>
          <t>MANUAL-037</t>
        </is>
      </c>
      <c r="B5" s="5" t="inlineStr">
        <is>
          <t>2026-09-07</t>
        </is>
      </c>
      <c r="C5" s="5" t="inlineStr">
        <is>
          <t>Unknown</t>
        </is>
      </c>
      <c r="D5" s="5" t="inlineStr">
        <is>
          <t>Solo / Unknown</t>
        </is>
      </c>
      <c r="E5" s="5" t="inlineStr">
        <is>
          <t>Opinion Piece</t>
        </is>
      </c>
      <c r="F5" s="6" t="inlineStr">
        <is>
          <t>In India's district courts, a crisis is revealed</t>
        </is>
      </c>
      <c r="G5" s="6" t="inlineStr">
        <is>
          <t>Get daily news, magazine notifications, invitation to foundation events, personal finance emails &amp; much more...</t>
        </is>
      </c>
      <c r="H5" s="7">
        <f>HYPERLINK("https://www.moneylife.in/article/in-indias-district-courts-a-crisis-is-revealed/46359.html", "https://www.moneylife.in/article/in-indias-district-courts-a-crisis-is-revealed/46359.html")</f>
        <v/>
      </c>
      <c r="I5" s="5" t="inlineStr">
        <is>
          <t>Technology &amp; Innovation</t>
        </is>
      </c>
      <c r="J5" s="5" t="inlineStr">
        <is>
          <t>AI Implications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2026-09-07T06:20:04Z</dcterms:created>
  <dcterms:modified xmlns:dcterms="http://purl.org/dc/terms/" xmlns:xsi="http://www.w3.org/2001/XMLSchema-instance" xsi:type="dcterms:W3CDTF">2026-09-07T06:20:04Z</dcterms:modified>
</cp:coreProperties>
</file>