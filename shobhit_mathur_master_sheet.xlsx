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Master Database" sheetId="2" state="visible" r:id="rId2"/>
    <sheet xmlns:r="http://schemas.openxmlformats.org/officeDocument/2006/relationships" name="Education &amp; Pedagogy" sheetId="3" state="visible" r:id="rId3"/>
    <sheet xmlns:r="http://schemas.openxmlformats.org/officeDocument/2006/relationships" name="Public Policy &amp; Governance" sheetId="4" state="visible" r:id="rId4"/>
    <sheet xmlns:r="http://schemas.openxmlformats.org/officeDocument/2006/relationships" name="Technology &amp; Innovation"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1"/>
    </font>
    <font>
      <name val="Segoe UI"/>
      <sz val="10"/>
    </font>
    <font>
      <name val="Segoe UI"/>
      <color rgb="002563EB"/>
      <sz val="10"/>
      <u val="single"/>
    </font>
    <font>
      <name val="Segoe UI"/>
      <b val="1"/>
      <color rgb="000F172A"/>
      <sz val="16"/>
    </font>
    <font>
      <name val="Segoe UI"/>
      <i val="1"/>
      <color rgb="0064748B"/>
      <sz val="11"/>
    </font>
    <font>
      <name val="Segoe UI"/>
      <b val="1"/>
      <color rgb="000F172A"/>
      <sz val="20"/>
    </font>
    <font>
      <name val="Segoe UI"/>
      <b val="1"/>
      <color rgb="00475569"/>
      <sz val="9"/>
    </font>
    <font>
      <name val="Segoe UI"/>
      <b val="1"/>
      <color rgb="00047857"/>
      <sz val="20"/>
    </font>
    <font>
      <name val="Segoe UI"/>
      <b val="1"/>
      <color rgb="00B45309"/>
      <sz val="20"/>
    </font>
    <font>
      <name val="Segoe UI"/>
      <b val="1"/>
      <color rgb="006D28D9"/>
      <sz val="20"/>
    </font>
    <font>
      <name val="Segoe UI"/>
      <b val="1"/>
      <color rgb="000F172A"/>
      <sz val="12"/>
    </font>
    <font>
      <name val="Segoe UI"/>
      <b val="1"/>
      <sz val="10"/>
    </font>
  </fonts>
  <fills count="10">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047857"/>
        <bgColor rgb="00047857"/>
      </patternFill>
    </fill>
    <fill>
      <patternFill patternType="solid">
        <fgColor rgb="00B45309"/>
        <bgColor rgb="00B45309"/>
      </patternFill>
    </fill>
    <fill>
      <patternFill patternType="solid">
        <fgColor rgb="006D28D9"/>
        <bgColor rgb="006D28D9"/>
      </patternFill>
    </fill>
    <fill>
      <patternFill patternType="solid">
        <fgColor rgb="00F1F5F9"/>
        <bgColor rgb="00F1F5F9"/>
      </patternFill>
    </fill>
    <fill>
      <patternFill patternType="solid">
        <fgColor rgb="00E2E8F0"/>
        <bgColor rgb="00E2E8F0"/>
      </patternFill>
    </fill>
    <fill>
      <patternFill patternType="solid">
        <fgColor rgb="001E40AF"/>
        <bgColor rgb="001E40A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8">
    <xf numFmtId="0" fontId="0" fillId="0" borderId="0" pivotButton="0" quotePrefix="0" xfId="0"/>
    <xf numFmtId="0" fontId="4" fillId="0" borderId="0" pivotButton="0" quotePrefix="0" xfId="0"/>
    <xf numFmtId="0" fontId="5" fillId="0" borderId="0" pivotButton="0" quotePrefix="0" xfId="0"/>
    <xf numFmtId="0" fontId="6" fillId="7" borderId="1" applyAlignment="1" pivotButton="0" quotePrefix="0" xfId="0">
      <alignment horizontal="center" vertical="center"/>
    </xf>
    <xf numFmtId="0" fontId="8" fillId="7" borderId="1" applyAlignment="1" pivotButton="0" quotePrefix="0" xfId="0">
      <alignment horizontal="center" vertical="center"/>
    </xf>
    <xf numFmtId="0" fontId="9" fillId="7" borderId="1" applyAlignment="1" pivotButton="0" quotePrefix="0" xfId="0">
      <alignment horizontal="center" vertical="center"/>
    </xf>
    <xf numFmtId="0" fontId="10" fillId="7" borderId="1" applyAlignment="1" pivotButton="0" quotePrefix="0" xfId="0">
      <alignment horizontal="center" vertical="center"/>
    </xf>
    <xf numFmtId="0" fontId="7" fillId="8" borderId="1" applyAlignment="1" pivotButton="0" quotePrefix="0" xfId="0">
      <alignment horizontal="center" vertical="center"/>
    </xf>
    <xf numFmtId="0" fontId="11" fillId="0" borderId="0" pivotButton="0" quotePrefix="0" xfId="0"/>
    <xf numFmtId="0" fontId="1" fillId="2" borderId="0" pivotButton="0" quotePrefix="0" xfId="0"/>
    <xf numFmtId="0" fontId="0" fillId="2" borderId="0" pivotButton="0" quotePrefix="0" xfId="0"/>
    <xf numFmtId="0" fontId="1" fillId="2" borderId="0" applyAlignment="1" pivotButton="0" quotePrefix="0" xfId="0">
      <alignment horizontal="center"/>
    </xf>
    <xf numFmtId="0" fontId="1" fillId="9" borderId="0" pivotButton="0" quotePrefix="0" xfId="0"/>
    <xf numFmtId="0" fontId="0" fillId="9" borderId="0" pivotButton="0" quotePrefix="0" xfId="0"/>
    <xf numFmtId="0" fontId="1" fillId="9" borderId="0" applyAlignment="1" pivotButton="0" quotePrefix="0" xfId="0">
      <alignment horizontal="center"/>
    </xf>
    <xf numFmtId="0" fontId="2" fillId="0" borderId="1" pivotButton="0" quotePrefix="0" xfId="0"/>
    <xf numFmtId="0" fontId="0" fillId="0" borderId="1" pivotButton="0" quotePrefix="0" xfId="0"/>
    <xf numFmtId="0" fontId="12" fillId="0" borderId="1" applyAlignment="1" pivotButton="0" quotePrefix="0" xfId="0">
      <alignment horizontal="center"/>
    </xf>
    <xf numFmtId="0" fontId="1" fillId="2" borderId="0"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4"/>
  <sheetViews>
    <sheetView showGridLines="1" workbookViewId="0">
      <selection activeCell="A1" sqref="A1"/>
    </sheetView>
  </sheetViews>
  <sheetFormatPr baseColWidth="8" defaultRowHeight="15"/>
  <cols>
    <col width="22" customWidth="1" min="2" max="2"/>
    <col width="4" customWidth="1" min="3" max="3"/>
    <col width="22" customWidth="1" min="4" max="4"/>
    <col width="6" customWidth="1" min="5" max="5"/>
    <col width="22" customWidth="1" min="6" max="6"/>
    <col width="4" customWidth="1" min="7" max="7"/>
    <col width="22" customWidth="1" min="8" max="8"/>
  </cols>
  <sheetData>
    <row r="2">
      <c r="B2" s="1" t="inlineStr">
        <is>
          <t>Shobhit Mathur — Executive Content Intelligence Dashboard</t>
        </is>
      </c>
    </row>
    <row r="3">
      <c r="B3" s="2" t="inlineStr">
        <is>
          <t>Comprehensive Master Repository of Extracted Articles, Publications, and Feed Commentary | Total Records: 32</t>
        </is>
      </c>
    </row>
    <row r="5" ht="36" customHeight="1">
      <c r="B5" s="3" t="n">
        <v>32</v>
      </c>
      <c r="D5" s="4" t="n">
        <v>18</v>
      </c>
      <c r="F5" s="5" t="n">
        <v>9</v>
      </c>
      <c r="H5" s="6" t="n">
        <v>5</v>
      </c>
    </row>
    <row r="6" ht="20" customHeight="1">
      <c r="B6" s="7" t="inlineStr">
        <is>
          <t>Total Articles</t>
        </is>
      </c>
      <c r="D6" s="7" t="inlineStr">
        <is>
          <t>Education &amp; Pedagogy</t>
        </is>
      </c>
      <c r="F6" s="7" t="inlineStr">
        <is>
          <t>Public Policy &amp; Gov</t>
        </is>
      </c>
      <c r="H6" s="7" t="inlineStr">
        <is>
          <t>Tech &amp; Innovation</t>
        </is>
      </c>
    </row>
    <row r="9">
      <c r="B9" s="8" t="inlineStr">
        <is>
          <t>Breakdown by Publication Source</t>
        </is>
      </c>
      <c r="F9" s="8" t="inlineStr">
        <is>
          <t>Taxonomy Sub-Classifications</t>
        </is>
      </c>
    </row>
    <row r="10">
      <c r="B10" s="9" t="inlineStr">
        <is>
          <t>Publication</t>
        </is>
      </c>
      <c r="C10" s="10" t="n"/>
      <c r="D10" s="11" t="inlineStr">
        <is>
          <t>Count</t>
        </is>
      </c>
      <c r="F10" s="12" t="inlineStr">
        <is>
          <t>Sub-classification</t>
        </is>
      </c>
      <c r="G10" s="13" t="n"/>
      <c r="H10" s="14" t="inlineStr">
        <is>
          <t>Count</t>
        </is>
      </c>
    </row>
    <row r="11">
      <c r="B11" s="15" t="inlineStr">
        <is>
          <t>ThePrint</t>
        </is>
      </c>
      <c r="C11" s="16" t="n"/>
      <c r="D11" s="17" t="n">
        <v>5</v>
      </c>
      <c r="F11" s="15" t="inlineStr">
        <is>
          <t>Higher Education</t>
        </is>
      </c>
      <c r="G11" s="16" t="n"/>
      <c r="H11" s="17" t="n">
        <v>11</v>
      </c>
    </row>
    <row r="12">
      <c r="B12" s="15" t="inlineStr">
        <is>
          <t>The Economic Times</t>
        </is>
      </c>
      <c r="C12" s="16" t="n"/>
      <c r="D12" s="17" t="n">
        <v>5</v>
      </c>
      <c r="F12" s="15" t="inlineStr">
        <is>
          <t>Civic Systems</t>
        </is>
      </c>
      <c r="G12" s="16" t="n"/>
      <c r="H12" s="17" t="n">
        <v>5</v>
      </c>
    </row>
    <row r="13">
      <c r="B13" s="15" t="inlineStr">
        <is>
          <t>Livemint</t>
        </is>
      </c>
      <c r="C13" s="16" t="n"/>
      <c r="D13" s="17" t="n">
        <v>5</v>
      </c>
      <c r="F13" s="15" t="inlineStr">
        <is>
          <t>Pedagogy</t>
        </is>
      </c>
      <c r="G13" s="16" t="n"/>
      <c r="H13" s="17" t="n">
        <v>4</v>
      </c>
    </row>
    <row r="14">
      <c r="B14" s="15" t="inlineStr">
        <is>
          <t>Swarajya</t>
        </is>
      </c>
      <c r="C14" s="16" t="n"/>
      <c r="D14" s="17" t="n">
        <v>4</v>
      </c>
      <c r="F14" s="15" t="inlineStr">
        <is>
          <t>Systemic Reform</t>
        </is>
      </c>
      <c r="G14" s="16" t="n"/>
      <c r="H14" s="17" t="n">
        <v>3</v>
      </c>
    </row>
    <row r="15">
      <c r="B15" s="15" t="inlineStr">
        <is>
          <t>The Hindu</t>
        </is>
      </c>
      <c r="C15" s="16" t="n"/>
      <c r="D15" s="17" t="n">
        <v>3</v>
      </c>
      <c r="F15" s="15" t="inlineStr">
        <is>
          <t>Regulatory Frameworks</t>
        </is>
      </c>
      <c r="G15" s="16" t="n"/>
      <c r="H15" s="17" t="n">
        <v>3</v>
      </c>
    </row>
    <row r="16">
      <c r="B16" s="15" t="inlineStr">
        <is>
          <t>NDTV</t>
        </is>
      </c>
      <c r="C16" s="16" t="n"/>
      <c r="D16" s="17" t="n">
        <v>2</v>
      </c>
      <c r="F16" s="15" t="inlineStr">
        <is>
          <t>Digital Sovereignty</t>
        </is>
      </c>
      <c r="G16" s="16" t="n"/>
      <c r="H16" s="17" t="n">
        <v>2</v>
      </c>
    </row>
    <row r="17">
      <c r="B17" s="15" t="inlineStr">
        <is>
          <t>LinkedIn Pulse</t>
        </is>
      </c>
      <c r="C17" s="16" t="n"/>
      <c r="D17" s="17" t="n">
        <v>1</v>
      </c>
      <c r="F17" s="15" t="inlineStr">
        <is>
          <t>Frugal Innovation</t>
        </is>
      </c>
      <c r="G17" s="16" t="n"/>
      <c r="H17" s="17" t="n">
        <v>2</v>
      </c>
    </row>
    <row r="18">
      <c r="B18" s="15" t="inlineStr">
        <is>
          <t>The Indian Express</t>
        </is>
      </c>
      <c r="C18" s="16" t="n"/>
      <c r="D18" s="17" t="n">
        <v>1</v>
      </c>
      <c r="F18" s="15" t="inlineStr">
        <is>
          <t>Nation-Building</t>
        </is>
      </c>
      <c r="G18" s="16" t="n"/>
      <c r="H18" s="17" t="n">
        <v>1</v>
      </c>
    </row>
    <row r="19">
      <c r="B19" s="15" t="inlineStr">
        <is>
          <t>Hindustan Times</t>
        </is>
      </c>
      <c r="C19" s="16" t="n"/>
      <c r="D19" s="17" t="n">
        <v>1</v>
      </c>
      <c r="F19" s="15" t="inlineStr">
        <is>
          <t>AI Implications</t>
        </is>
      </c>
      <c r="G19" s="16" t="n"/>
      <c r="H19" s="17" t="n">
        <v>1</v>
      </c>
    </row>
    <row r="20">
      <c r="B20" s="15" t="inlineStr">
        <is>
          <t>Financial Express</t>
        </is>
      </c>
      <c r="C20" s="16" t="n"/>
      <c r="D20" s="17" t="n">
        <v>1</v>
      </c>
    </row>
    <row r="21">
      <c r="B21" s="15" t="inlineStr">
        <is>
          <t>IndiaSpend</t>
        </is>
      </c>
      <c r="C21" s="16" t="n"/>
      <c r="D21" s="17" t="n">
        <v>1</v>
      </c>
    </row>
    <row r="22">
      <c r="B22" s="15" t="inlineStr">
        <is>
          <t>The Wire</t>
        </is>
      </c>
      <c r="C22" s="16" t="n"/>
      <c r="D22" s="17" t="n">
        <v>1</v>
      </c>
    </row>
    <row r="23">
      <c r="B23" s="15" t="inlineStr">
        <is>
          <t>The Quint</t>
        </is>
      </c>
      <c r="C23" s="16" t="n"/>
      <c r="D23" s="17" t="n">
        <v>1</v>
      </c>
    </row>
    <row r="24">
      <c r="B24" s="15" t="inlineStr">
        <is>
          <t>LinkedIn Pulse / Print</t>
        </is>
      </c>
      <c r="C24" s="16" t="n"/>
      <c r="D24" s="17" t="n">
        <v>1</v>
      </c>
    </row>
  </sheetData>
  <mergeCells count="27">
    <mergeCell ref="F11:G11"/>
    <mergeCell ref="B16:C16"/>
    <mergeCell ref="F10:G10"/>
    <mergeCell ref="F16:G16"/>
    <mergeCell ref="F19:G19"/>
    <mergeCell ref="B22:C22"/>
    <mergeCell ref="B18:C18"/>
    <mergeCell ref="B12:C12"/>
    <mergeCell ref="B21:C21"/>
    <mergeCell ref="F12:G12"/>
    <mergeCell ref="B11:C11"/>
    <mergeCell ref="F15:G15"/>
    <mergeCell ref="F18:G18"/>
    <mergeCell ref="B23:C23"/>
    <mergeCell ref="B9:D9"/>
    <mergeCell ref="B14:C14"/>
    <mergeCell ref="F9:H9"/>
    <mergeCell ref="B17:C17"/>
    <mergeCell ref="F17:G17"/>
    <mergeCell ref="B13:C13"/>
    <mergeCell ref="B19:C19"/>
    <mergeCell ref="B10:C10"/>
    <mergeCell ref="F13:G13"/>
    <mergeCell ref="B24:C24"/>
    <mergeCell ref="B15:C15"/>
    <mergeCell ref="B20:C20"/>
    <mergeCell ref="F14:G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18" t="inlineStr">
        <is>
          <t>ID</t>
        </is>
      </c>
      <c r="B1" s="18" t="inlineStr">
        <is>
          <t>Date</t>
        </is>
      </c>
      <c r="C1" s="18" t="inlineStr">
        <is>
          <t>Publication</t>
        </is>
      </c>
      <c r="D1" s="18" t="inlineStr">
        <is>
          <t>Co-Authors</t>
        </is>
      </c>
      <c r="E1" s="18" t="inlineStr">
        <is>
          <t>Content Type</t>
        </is>
      </c>
      <c r="F1" s="18" t="inlineStr">
        <is>
          <t>Article Title</t>
        </is>
      </c>
      <c r="G1" s="18" t="inlineStr">
        <is>
          <t>Post Content (Author Commentary)</t>
        </is>
      </c>
      <c r="H1" s="18" t="inlineStr">
        <is>
          <t>URL</t>
        </is>
      </c>
      <c r="I1" s="18" t="inlineStr">
        <is>
          <t>Primary Classification</t>
        </is>
      </c>
      <c r="J1" s="18" t="inlineStr">
        <is>
          <t>Sub-classification</t>
        </is>
      </c>
    </row>
    <row r="2" ht="65" customHeight="1">
      <c r="A2" s="19" t="inlineStr">
        <is>
          <t>SM-001</t>
        </is>
      </c>
      <c r="B2" s="19" t="inlineStr">
        <is>
          <t>2026-08-05</t>
        </is>
      </c>
      <c r="C2" s="19" t="inlineStr">
        <is>
          <t>The Hindu</t>
        </is>
      </c>
      <c r="D2" s="19" t="inlineStr">
        <is>
          <t>Solo</t>
        </is>
      </c>
      <c r="E2" s="19" t="inlineStr">
        <is>
          <t>Opinion Column</t>
        </is>
      </c>
      <c r="F2" s="20" t="inlineStr">
        <is>
          <t>How the NEET can be restructured to end question paper leaks</t>
        </is>
      </c>
      <c r="G2" s="20" t="inlineStr">
        <is>
          <t>Examination leaks erode student morale and damage institutional credibility. Rebuilding faith in national entrance tests like NEET requires integrating modern computerized testing infrastructure with accountable state governance.</t>
        </is>
      </c>
      <c r="H2" s="21">
        <f>HYPERLINK("https://www.google.com/search?q=%22How%20the%20NEET%20can%20be%20restructured%20to%20end%20question%20paper%20leaks%22%20The%20Hindu%20Shobhit%20Mathur", "Search on Google")</f>
        <v/>
      </c>
      <c r="I2" s="19" t="inlineStr">
        <is>
          <t>Education &amp; Pedagogy</t>
        </is>
      </c>
      <c r="J2" s="19" t="inlineStr">
        <is>
          <t>Systemic Reform</t>
        </is>
      </c>
    </row>
    <row r="3" ht="65" customHeight="1">
      <c r="A3" s="22" t="inlineStr">
        <is>
          <t>SM-002</t>
        </is>
      </c>
      <c r="B3" s="22" t="inlineStr">
        <is>
          <t>2026-07-29</t>
        </is>
      </c>
      <c r="C3" s="22" t="inlineStr">
        <is>
          <t>ThePrint</t>
        </is>
      </c>
      <c r="D3" s="22" t="inlineStr">
        <is>
          <t>Suresh Prabhu</t>
        </is>
      </c>
      <c r="E3" s="22" t="inlineStr">
        <is>
          <t>Opinion Column</t>
        </is>
      </c>
      <c r="F3" s="23" t="inlineStr">
        <is>
          <t>India topped the Physics Olympiad. Now it needs schools built for minds like these</t>
        </is>
      </c>
      <c r="G3" s="23" t="inlineStr">
        <is>
          <t>India's triumphant performance at the International Physics Olympiad demonstrates the immense raw intellect of our students. However, our standard classrooms and rote systems fail to nurture exceptional talent. We need specialized schools, talent incubators, and modern pedagogy designed specifically for extraordinary minds.</t>
        </is>
      </c>
      <c r="H3" s="24">
        <f>HYPERLINK("https://www.google.com/search?q=%22India%20topped%20the%20Physics%20Olympiad.%20Now%20it%20needs%20schools%20built%20for%20minds%20like%20these%22%20ThePrint%20Shobhit%20Mathur", "Search on Google")</f>
        <v/>
      </c>
      <c r="I3" s="22" t="inlineStr">
        <is>
          <t>Education &amp; Pedagogy</t>
        </is>
      </c>
      <c r="J3" s="22" t="inlineStr">
        <is>
          <t>Pedagogy</t>
        </is>
      </c>
    </row>
    <row r="4" ht="65" customHeight="1">
      <c r="A4" s="19" t="inlineStr">
        <is>
          <t>SM-003</t>
        </is>
      </c>
      <c r="B4" s="19" t="inlineStr">
        <is>
          <t>2026-07-07</t>
        </is>
      </c>
      <c r="C4" s="19" t="inlineStr">
        <is>
          <t>ThePrint</t>
        </is>
      </c>
      <c r="D4" s="19" t="inlineStr">
        <is>
          <t>Suresh Prabhu</t>
        </is>
      </c>
      <c r="E4" s="19" t="inlineStr">
        <is>
          <t>Opinion Column</t>
        </is>
      </c>
      <c r="F4" s="20" t="inlineStr">
        <is>
          <t>What India can learn from America at 250</t>
        </is>
      </c>
      <c r="G4" s="20" t="inlineStr">
        <is>
          <t>As the United States marks 250 years, India should reflect on constitutional resilience, institutional balance, and state capacity. Building robust civic systems and transparent laws is foundational for sustainable nation-building.</t>
        </is>
      </c>
      <c r="H4" s="21">
        <f>HYPERLINK("https://www.google.com/search?q=%22What%20India%20can%20learn%20from%20America%20at%20250%22%20ThePrint%20Shobhit%20Mathur", "Search on Google")</f>
        <v/>
      </c>
      <c r="I4" s="19" t="inlineStr">
        <is>
          <t>Public Policy &amp; Governance</t>
        </is>
      </c>
      <c r="J4" s="19" t="inlineStr">
        <is>
          <t>Nation-Building</t>
        </is>
      </c>
    </row>
    <row r="5" ht="65" customHeight="1">
      <c r="A5" s="22" t="inlineStr">
        <is>
          <t>SM-004</t>
        </is>
      </c>
      <c r="B5" s="22" t="inlineStr">
        <is>
          <t>2026-06-19</t>
        </is>
      </c>
      <c r="C5" s="22" t="inlineStr">
        <is>
          <t>ThePrint</t>
        </is>
      </c>
      <c r="D5" s="22" t="inlineStr">
        <is>
          <t>Suresh Prabhu</t>
        </is>
      </c>
      <c r="E5" s="22" t="inlineStr">
        <is>
          <t>Opinion Column</t>
        </is>
      </c>
      <c r="F5" s="23" t="inlineStr">
        <is>
          <t>India is mistaking data localisation for digital sovereignty. It must control the traffic system</t>
        </is>
      </c>
      <c r="G5" s="23" t="inlineStr">
        <is>
          <t>True digital sovereignty cannot be achieved merely by storing bits within national borders. We must master the digital traffic architecture, core algorithms, and communication layers to secure our tech rise and strategic independence.</t>
        </is>
      </c>
      <c r="H5" s="24">
        <f>HYPERLINK("https://www.google.com/search?q=%22India%20is%20mistaking%20data%20localisation%20for%20digital%20sovereignty.%20It%20must%20control%20the%20traffic%20system%22%20ThePrint%20Shobhit%20Mathur", "Search on Google")</f>
        <v/>
      </c>
      <c r="I5" s="22" t="inlineStr">
        <is>
          <t>Technology &amp; Innovation</t>
        </is>
      </c>
      <c r="J5" s="22" t="inlineStr">
        <is>
          <t>Digital Sovereignty</t>
        </is>
      </c>
    </row>
    <row r="6" ht="65" customHeight="1">
      <c r="A6" s="19" t="inlineStr">
        <is>
          <t>SM-005</t>
        </is>
      </c>
      <c r="B6" s="19" t="inlineStr">
        <is>
          <t>2026-06-12</t>
        </is>
      </c>
      <c r="C6" s="19" t="inlineStr">
        <is>
          <t>The Economic Times</t>
        </is>
      </c>
      <c r="D6" s="19" t="inlineStr">
        <is>
          <t>Suresh Prabhu</t>
        </is>
      </c>
      <c r="E6" s="19" t="inlineStr">
        <is>
          <t>Opinion Column</t>
        </is>
      </c>
      <c r="F6" s="20" t="inlineStr">
        <is>
          <t>India's development ladder after AI: What comes next?</t>
        </is>
      </c>
      <c r="G6" s="20" t="inlineStr">
        <is>
          <t>The traditional pathway of climbing the developmental ladder through low-cost services and manual labor is rapidly shifting due to artificial intelligence. How India navigates AI implications will determine our economic future.</t>
        </is>
      </c>
      <c r="H6" s="21">
        <f>HYPERLINK("https://www.google.com/search?q=%22India%27s%20development%20ladder%20after%20AI%3A%20What%20comes%20next%3F%22%20The%20Economic%20Times%20Shobhit%20Mathur", "Search on Google")</f>
        <v/>
      </c>
      <c r="I6" s="19" t="inlineStr">
        <is>
          <t>Technology &amp; Innovation</t>
        </is>
      </c>
      <c r="J6" s="19" t="inlineStr">
        <is>
          <t>AI Implications</t>
        </is>
      </c>
    </row>
    <row r="7" ht="65" customHeight="1">
      <c r="A7" s="22" t="inlineStr">
        <is>
          <t>SM-006</t>
        </is>
      </c>
      <c r="B7" s="22" t="inlineStr">
        <is>
          <t>2026-05-28</t>
        </is>
      </c>
      <c r="C7" s="22" t="inlineStr">
        <is>
          <t>The Economic Times</t>
        </is>
      </c>
      <c r="D7" s="22" t="inlineStr">
        <is>
          <t>Suresh Prabhu</t>
        </is>
      </c>
      <c r="E7" s="22" t="inlineStr">
        <is>
          <t>Opinion Column</t>
        </is>
      </c>
      <c r="F7" s="23" t="inlineStr">
        <is>
          <t>India and the new economics of constraint</t>
        </is>
      </c>
      <c r="G7" s="23" t="inlineStr">
        <is>
          <t>In an era of fractured supply chains and shifting global alliances, India faces a new economics of constraint. We must rethink our regulatory frameworks and strategic domestic capacity to build economic resilience.</t>
        </is>
      </c>
      <c r="H7" s="24">
        <f>HYPERLINK("https://www.google.com/search?q=%22India%20and%20the%20new%20economics%20of%20constraint%22%20The%20Economic%20Times%20Shobhit%20Mathur", "Search on Google")</f>
        <v/>
      </c>
      <c r="I7" s="22" t="inlineStr">
        <is>
          <t>Public Policy &amp; Governance</t>
        </is>
      </c>
      <c r="J7" s="22" t="inlineStr">
        <is>
          <t>Regulatory Frameworks</t>
        </is>
      </c>
    </row>
    <row r="8" ht="65" customHeight="1">
      <c r="A8" s="19" t="inlineStr">
        <is>
          <t>SM-007</t>
        </is>
      </c>
      <c r="B8" s="19" t="inlineStr">
        <is>
          <t>2026-04-21</t>
        </is>
      </c>
      <c r="C8" s="19" t="inlineStr">
        <is>
          <t>ThePrint</t>
        </is>
      </c>
      <c r="D8" s="19" t="inlineStr">
        <is>
          <t>Suresh Prabhu</t>
        </is>
      </c>
      <c r="E8" s="19" t="inlineStr">
        <is>
          <t>Opinion Column</t>
        </is>
      </c>
      <c r="F8" s="20" t="inlineStr">
        <is>
          <t>University townships — India's chance to build its own version of what America got right</t>
        </is>
      </c>
      <c r="G8" s="20" t="inlineStr">
        <is>
          <t>Vibrant university towns serve as powerful engines of innovation, research, and local economic development. Developing integrated higher education campuses in India can transform regional growth.</t>
        </is>
      </c>
      <c r="H8" s="21">
        <f>HYPERLINK("https://www.google.com/search?q=%22University%20townships%20%E2%80%94%20India%27s%20chance%20to%20build%20its%20own%20version%20of%20what%20America%20got%20right%22%20ThePrint%20Shobhit%20Mathur", "Search on Google")</f>
        <v/>
      </c>
      <c r="I8" s="19" t="inlineStr">
        <is>
          <t>Education &amp; Pedagogy</t>
        </is>
      </c>
      <c r="J8" s="19" t="inlineStr">
        <is>
          <t>Higher Education</t>
        </is>
      </c>
    </row>
    <row r="9" ht="65" customHeight="1">
      <c r="A9" s="22" t="inlineStr">
        <is>
          <t>SM-008</t>
        </is>
      </c>
      <c r="B9" s="22" t="inlineStr">
        <is>
          <t>2026-02-11</t>
        </is>
      </c>
      <c r="C9" s="22" t="inlineStr">
        <is>
          <t>ThePrint</t>
        </is>
      </c>
      <c r="D9" s="22" t="inlineStr">
        <is>
          <t>Suresh Prabhu</t>
        </is>
      </c>
      <c r="E9" s="22" t="inlineStr">
        <is>
          <t>Opinion Column</t>
        </is>
      </c>
      <c r="F9" s="23" t="inlineStr">
        <is>
          <t>For-profit medical colleges are a step forward. Education is defined by outcomes, not ownership</t>
        </is>
      </c>
      <c r="G9" s="23" t="inlineStr">
        <is>
          <t>Expanding access to healthcare training requires enabling responsible private capital. Allowing for-profit medical colleges will bridge massive capacity shortages while regulatory frameworks ensure educational quality.</t>
        </is>
      </c>
      <c r="H9" s="24">
        <f>HYPERLINK("https://www.google.com/search?q=%22For-profit%20medical%20colleges%20are%20a%20step%20forward.%20Education%20is%20defined%20by%20outcomes%2C%20not%20ownership%22%20ThePrint%20Shobhit%20Mathur", "Search on Google")</f>
        <v/>
      </c>
      <c r="I9" s="22" t="inlineStr">
        <is>
          <t>Education &amp; Pedagogy</t>
        </is>
      </c>
      <c r="J9" s="22" t="inlineStr">
        <is>
          <t>Higher Education</t>
        </is>
      </c>
    </row>
    <row r="10" ht="65" customHeight="1">
      <c r="A10" s="19" t="inlineStr">
        <is>
          <t>SM-009</t>
        </is>
      </c>
      <c r="B10" s="19" t="inlineStr">
        <is>
          <t>2025-06-18</t>
        </is>
      </c>
      <c r="C10" s="19" t="inlineStr">
        <is>
          <t>The Economic Times</t>
        </is>
      </c>
      <c r="D10" s="19" t="inlineStr">
        <is>
          <t>Suresh Prabhu</t>
        </is>
      </c>
      <c r="E10" s="19" t="inlineStr">
        <is>
          <t>Opinion Column</t>
        </is>
      </c>
      <c r="F10" s="20" t="inlineStr">
        <is>
          <t>Technology education key to India's sovereignty</t>
        </is>
      </c>
      <c r="G10" s="20" t="inlineStr">
        <is>
          <t>Critical tech infrastructure demands homegrown talent and strategic educational programs. Fostering indigenous engineering and frugal innovation in our universities is essential to safeguard national digital security.</t>
        </is>
      </c>
      <c r="H10" s="21">
        <f>HYPERLINK("https://www.google.com/search?q=%22Technology%20education%20key%20to%20India%27s%20sovereignty%22%20The%20Economic%20Times%20Shobhit%20Mathur", "Search on Google")</f>
        <v/>
      </c>
      <c r="I10" s="19" t="inlineStr">
        <is>
          <t>Technology &amp; Innovation</t>
        </is>
      </c>
      <c r="J10" s="19" t="inlineStr">
        <is>
          <t>Frugal Innovation</t>
        </is>
      </c>
    </row>
    <row r="11" ht="65" customHeight="1">
      <c r="A11" s="22" t="inlineStr">
        <is>
          <t>SM-010</t>
        </is>
      </c>
      <c r="B11" s="22" t="inlineStr">
        <is>
          <t>2025-06-10</t>
        </is>
      </c>
      <c r="C11" s="22" t="inlineStr">
        <is>
          <t>The Economic Times</t>
        </is>
      </c>
      <c r="D11" s="22" t="inlineStr">
        <is>
          <t>Solo</t>
        </is>
      </c>
      <c r="E11" s="22" t="inlineStr">
        <is>
          <t>Opinion Column</t>
        </is>
      </c>
      <c r="F11" s="23" t="inlineStr">
        <is>
          <t>Fit to learn, fit to lead: Why India must rescue physical education now</t>
        </is>
      </c>
      <c r="G11" s="23" t="inlineStr">
        <is>
          <t>Declining physical engagement and sedentary academic environments hinder cognitive growth. Re-integrating sports and movement into our classrooms and curriculum is vital for student leadership.</t>
        </is>
      </c>
      <c r="H11" s="24">
        <f>HYPERLINK("https://www.google.com/search?q=%22Fit%20to%20learn%2C%20fit%20to%20lead%3A%20Why%20India%20must%20rescue%20physical%20education%20now%22%20The%20Economic%20Times%20Shobhit%20Mathur", "Search on Google")</f>
        <v/>
      </c>
      <c r="I11" s="22" t="inlineStr">
        <is>
          <t>Education &amp; Pedagogy</t>
        </is>
      </c>
      <c r="J11" s="22" t="inlineStr">
        <is>
          <t>Pedagogy</t>
        </is>
      </c>
    </row>
    <row r="12" ht="65" customHeight="1">
      <c r="A12" s="19" t="inlineStr">
        <is>
          <t>SM-011</t>
        </is>
      </c>
      <c r="B12" s="19" t="inlineStr">
        <is>
          <t>2025-06-04</t>
        </is>
      </c>
      <c r="C12" s="19" t="inlineStr">
        <is>
          <t>LinkedIn Pulse</t>
        </is>
      </c>
      <c r="D12" s="19" t="inlineStr">
        <is>
          <t>Solo</t>
        </is>
      </c>
      <c r="E12" s="19" t="inlineStr">
        <is>
          <t>Book Review</t>
        </is>
      </c>
      <c r="F12" s="20" t="inlineStr">
        <is>
          <t>Book Review | Yuk Hui’s The Question Concerning Technology in China (2016)</t>
        </is>
      </c>
      <c r="G12" s="20" t="inlineStr">
        <is>
          <t>What if technology is not universal—but civilizational? Yuk Hui’s groundbreaking book challenges one of modernity’s deepest assumptions: that technology is a neutral, universal force. A profound exploration of digital cosmotechnics and sovereignty.</t>
        </is>
      </c>
      <c r="H12" s="21">
        <f>HYPERLINK("https://www.google.com/search?q=%22Book%20Review%20%7C%20Yuk%20Hui%E2%80%99s%20The%20Question%20Concerning%20Technology%20in%20China%20%282016%29%22%20LinkedIn%20Pulse%20Shobhit%20Mathur", "Search on Google")</f>
        <v/>
      </c>
      <c r="I12" s="19" t="inlineStr">
        <is>
          <t>Technology &amp; Innovation</t>
        </is>
      </c>
      <c r="J12" s="19" t="inlineStr">
        <is>
          <t>Digital Sovereignty</t>
        </is>
      </c>
    </row>
    <row r="13" ht="65" customHeight="1">
      <c r="A13" s="22" t="inlineStr">
        <is>
          <t>SM-012</t>
        </is>
      </c>
      <c r="B13" s="22" t="inlineStr">
        <is>
          <t>2024-11-15</t>
        </is>
      </c>
      <c r="C13" s="22" t="inlineStr">
        <is>
          <t>The Hindu</t>
        </is>
      </c>
      <c r="D13" s="22" t="inlineStr">
        <is>
          <t>Kankana Trivedi</t>
        </is>
      </c>
      <c r="E13" s="22" t="inlineStr">
        <is>
          <t>Research Essay</t>
        </is>
      </c>
      <c r="F13" s="23" t="inlineStr">
        <is>
          <t>Emerging trends in Public Policy Education in India</t>
        </is>
      </c>
      <c r="G13" s="23" t="inlineStr">
        <is>
          <t>India's rapid socioeconomic evolution demands specialized public policy education that bridges grassroots realities with rigorous institutional governance and evidence-based policymaking.</t>
        </is>
      </c>
      <c r="H13" s="24">
        <f>HYPERLINK("https://www.google.com/search?q=%22Emerging%20trends%20in%20Public%20Policy%20Education%20in%20India%22%20The%20Hindu%20Shobhit%20Mathur", "Search on Google")</f>
        <v/>
      </c>
      <c r="I13" s="22" t="inlineStr">
        <is>
          <t>Education &amp; Pedagogy</t>
        </is>
      </c>
      <c r="J13" s="22" t="inlineStr">
        <is>
          <t>Higher Education</t>
        </is>
      </c>
    </row>
    <row r="14" ht="65" customHeight="1">
      <c r="A14" s="19" t="inlineStr">
        <is>
          <t>SM-013</t>
        </is>
      </c>
      <c r="B14" s="19" t="inlineStr">
        <is>
          <t>2024-06-25</t>
        </is>
      </c>
      <c r="C14" s="19" t="inlineStr">
        <is>
          <t>The Indian Express</t>
        </is>
      </c>
      <c r="D14" s="19" t="inlineStr">
        <is>
          <t>Suresh Prabhu</t>
        </is>
      </c>
      <c r="E14" s="19" t="inlineStr">
        <is>
          <t>Opinion Column</t>
        </is>
      </c>
      <c r="F14" s="20" t="inlineStr">
        <is>
          <t>To escape annual cycle of leaks and stress, India needs a new exam design</t>
        </is>
      </c>
      <c r="G14" s="20" t="inlineStr">
        <is>
          <t>High-stakes, single-day competitive exams create immense pressure on students and foster corrupt coaching cartels. We propose a computerized, multi-stage assessment system to drive genuine systemic reform in education policy.</t>
        </is>
      </c>
      <c r="H14" s="21">
        <f>HYPERLINK("https://www.google.com/search?q=%22To%20escape%20annual%20cycle%20of%20leaks%20and%20stress%2C%20India%20needs%20a%20new%20exam%20design%22%20The%20Indian%20Express%20Shobhit%20Mathur", "Search on Google")</f>
        <v/>
      </c>
      <c r="I14" s="19" t="inlineStr">
        <is>
          <t>Education &amp; Pedagogy</t>
        </is>
      </c>
      <c r="J14" s="19" t="inlineStr">
        <is>
          <t>Systemic Reform</t>
        </is>
      </c>
    </row>
    <row r="15" ht="65" customHeight="1">
      <c r="A15" s="22" t="inlineStr">
        <is>
          <t>SM-014</t>
        </is>
      </c>
      <c r="B15" s="22" t="inlineStr">
        <is>
          <t>2024-06-19</t>
        </is>
      </c>
      <c r="C15" s="22" t="inlineStr">
        <is>
          <t>Livemint</t>
        </is>
      </c>
      <c r="D15" s="22" t="inlineStr">
        <is>
          <t>Suresh Prabhu</t>
        </is>
      </c>
      <c r="E15" s="22" t="inlineStr">
        <is>
          <t>Opinion Column</t>
        </is>
      </c>
      <c r="F15" s="23" t="inlineStr">
        <is>
          <t>Educators should leverage AI for an educational transformation</t>
        </is>
      </c>
      <c r="G15" s="23" t="inlineStr">
        <is>
          <t>Artificial intelligence gives us an unprecedented opportunity to provide personalized tutoring at scale. Educational institutions and teachers must embrace EdTech and GenAI tools to personalize classroom pedagogy.</t>
        </is>
      </c>
      <c r="H15" s="24">
        <f>HYPERLINK("https://www.google.com/search?q=%22Educators%20should%20leverage%20AI%20for%20an%20educational%20transformation%22%20Livemint%20Shobhit%20Mathur", "Search on Google")</f>
        <v/>
      </c>
      <c r="I15" s="22" t="inlineStr">
        <is>
          <t>Education &amp; Pedagogy</t>
        </is>
      </c>
      <c r="J15" s="22" t="inlineStr">
        <is>
          <t>Higher Education</t>
        </is>
      </c>
    </row>
    <row r="16" ht="65" customHeight="1">
      <c r="A16" s="19" t="inlineStr">
        <is>
          <t>SM-015</t>
        </is>
      </c>
      <c r="B16" s="19" t="inlineStr">
        <is>
          <t>2024-05-14</t>
        </is>
      </c>
      <c r="C16" s="19" t="inlineStr">
        <is>
          <t>Hindustan Times</t>
        </is>
      </c>
      <c r="D16" s="19" t="inlineStr">
        <is>
          <t>Solo</t>
        </is>
      </c>
      <c r="E16" s="19" t="inlineStr">
        <is>
          <t>Opinion Column</t>
        </is>
      </c>
      <c r="F16" s="20" t="inlineStr">
        <is>
          <t>India needs policy support for entrepreneurial universities</t>
        </is>
      </c>
      <c r="G16" s="20" t="inlineStr">
        <is>
          <t>Transitioning Indian higher education from degree factories to entrepreneurship hubs requires responsive regulatory frameworks and government policies that support student startups and venture creation.</t>
        </is>
      </c>
      <c r="H16" s="21">
        <f>HYPERLINK("https://www.google.com/search?q=%22India%20needs%20policy%20support%20for%20entrepreneurial%20universities%22%20Hindustan%20Times%20Shobhit%20Mathur", "Search on Google")</f>
        <v/>
      </c>
      <c r="I16" s="19" t="inlineStr">
        <is>
          <t>Education &amp; Pedagogy</t>
        </is>
      </c>
      <c r="J16" s="19" t="inlineStr">
        <is>
          <t>Higher Education</t>
        </is>
      </c>
    </row>
    <row r="17" ht="65" customHeight="1">
      <c r="A17" s="22" t="inlineStr">
        <is>
          <t>SM-016</t>
        </is>
      </c>
      <c r="B17" s="22" t="inlineStr">
        <is>
          <t>2024-03-08</t>
        </is>
      </c>
      <c r="C17" s="22" t="inlineStr">
        <is>
          <t>NDTV</t>
        </is>
      </c>
      <c r="D17" s="22" t="inlineStr">
        <is>
          <t>Solo</t>
        </is>
      </c>
      <c r="E17" s="22" t="inlineStr">
        <is>
          <t>Opinion Column</t>
        </is>
      </c>
      <c r="F17" s="23" t="inlineStr">
        <is>
          <t>Why India needs high-performing private universities with public purpose</t>
        </is>
      </c>
      <c r="G17" s="23" t="inlineStr">
        <is>
          <t>Private universities must step up to meet global standards while grounding education in civic responsibility and nation-building values. Regulatory bodies should incentivize institutional autonomy.</t>
        </is>
      </c>
      <c r="H17" s="24">
        <f>HYPERLINK("https://www.google.com/search?q=%22Why%20India%20needs%20high-performing%20private%20universities%20with%20public%20purpose%22%20NDTV%20Shobhit%20Mathur", "Search on Google")</f>
        <v/>
      </c>
      <c r="I17" s="22" t="inlineStr">
        <is>
          <t>Education &amp; Pedagogy</t>
        </is>
      </c>
      <c r="J17" s="22" t="inlineStr">
        <is>
          <t>Higher Education</t>
        </is>
      </c>
    </row>
    <row r="18" ht="65" customHeight="1">
      <c r="A18" s="19" t="inlineStr">
        <is>
          <t>SM-017</t>
        </is>
      </c>
      <c r="B18" s="19" t="inlineStr">
        <is>
          <t>2023-11-20</t>
        </is>
      </c>
      <c r="C18" s="19" t="inlineStr">
        <is>
          <t>Swarajya</t>
        </is>
      </c>
      <c r="D18" s="19" t="inlineStr">
        <is>
          <t>Solo</t>
        </is>
      </c>
      <c r="E18" s="19" t="inlineStr">
        <is>
          <t>Opinion Column</t>
        </is>
      </c>
      <c r="F18" s="20" t="inlineStr">
        <is>
          <t>Reimagining the permanent government: Reforming India's civil service architecture</t>
        </is>
      </c>
      <c r="G18" s="20" t="inlineStr">
        <is>
          <t>The permanent government and civil bureaucracy must transition from administrative gatekeepers to mission-driven enablers. Strengthening institutional accountability and regulatory capacity is critical for civic governance.</t>
        </is>
      </c>
      <c r="H18" s="21">
        <f>HYPERLINK("https://www.google.com/search?q=%22Reimagining%20the%20permanent%20government%3A%20Reforming%20India%27s%20civil%20service%20architecture%22%20Swarajya%20Shobhit%20Mathur", "Search on Google")</f>
        <v/>
      </c>
      <c r="I18" s="19" t="inlineStr">
        <is>
          <t>Public Policy &amp; Governance</t>
        </is>
      </c>
      <c r="J18" s="19" t="inlineStr">
        <is>
          <t>Civic Systems</t>
        </is>
      </c>
    </row>
    <row r="19" ht="65" customHeight="1">
      <c r="A19" s="22" t="inlineStr">
        <is>
          <t>SM-018</t>
        </is>
      </c>
      <c r="B19" s="22" t="inlineStr">
        <is>
          <t>2023-08-23</t>
        </is>
      </c>
      <c r="C19" s="22" t="inlineStr">
        <is>
          <t>Livemint</t>
        </is>
      </c>
      <c r="D19" s="22" t="inlineStr">
        <is>
          <t>Suresh Prabhu</t>
        </is>
      </c>
      <c r="E19" s="22" t="inlineStr">
        <is>
          <t>Opinion Column</t>
        </is>
      </c>
      <c r="F19" s="23" t="inlineStr">
        <is>
          <t>India has an opportunity to lead the fourth industrial revolution</t>
        </is>
      </c>
      <c r="G19" s="23" t="inlineStr">
        <is>
          <t>India stands at a pivotal juncture where technological rise, digital adoption, and frugal innovation can position our industries at the forefront of the Fourth Industrial Revolution.</t>
        </is>
      </c>
      <c r="H19" s="24">
        <f>HYPERLINK("https://www.google.com/search?q=%22India%20has%20an%20opportunity%20to%20lead%20the%20fourth%20industrial%20revolution%22%20Livemint%20Shobhit%20Mathur", "Search on Google")</f>
        <v/>
      </c>
      <c r="I19" s="22" t="inlineStr">
        <is>
          <t>Technology &amp; Innovation</t>
        </is>
      </c>
      <c r="J19" s="22" t="inlineStr">
        <is>
          <t>Frugal Innovation</t>
        </is>
      </c>
    </row>
    <row r="20" ht="65" customHeight="1">
      <c r="A20" s="19" t="inlineStr">
        <is>
          <t>SM-019</t>
        </is>
      </c>
      <c r="B20" s="19" t="inlineStr">
        <is>
          <t>2023-07-26</t>
        </is>
      </c>
      <c r="C20" s="19" t="inlineStr">
        <is>
          <t>Livemint</t>
        </is>
      </c>
      <c r="D20" s="19" t="inlineStr">
        <is>
          <t>Suresh Prabhu</t>
        </is>
      </c>
      <c r="E20" s="19" t="inlineStr">
        <is>
          <t>Opinion Column</t>
        </is>
      </c>
      <c r="F20" s="20" t="inlineStr">
        <is>
          <t>Universities should lead the way as we adapt to the future of work</t>
        </is>
      </c>
      <c r="G20" s="20" t="inlineStr">
        <is>
          <t>As artificial intelligence and automation reshape industry demands, universities must overhaul curricula to prioritize critical thinking, adaptability, and multidisciplinary skills for the future of work.</t>
        </is>
      </c>
      <c r="H20" s="21">
        <f>HYPERLINK("https://www.google.com/search?q=%22Universities%20should%20lead%20the%20way%20as%20we%20adapt%20to%20the%20future%20of%20work%22%20Livemint%20Shobhit%20Mathur", "Search on Google")</f>
        <v/>
      </c>
      <c r="I20" s="19" t="inlineStr">
        <is>
          <t>Education &amp; Pedagogy</t>
        </is>
      </c>
      <c r="J20" s="19" t="inlineStr">
        <is>
          <t>Higher Education</t>
        </is>
      </c>
    </row>
    <row r="21" ht="65" customHeight="1">
      <c r="A21" s="22" t="inlineStr">
        <is>
          <t>SM-020</t>
        </is>
      </c>
      <c r="B21" s="22" t="inlineStr">
        <is>
          <t>2023-06-15</t>
        </is>
      </c>
      <c r="C21" s="22" t="inlineStr">
        <is>
          <t>The Economic Times</t>
        </is>
      </c>
      <c r="D21" s="22" t="inlineStr">
        <is>
          <t>Solo</t>
        </is>
      </c>
      <c r="E21" s="22" t="inlineStr">
        <is>
          <t>Opinion Column</t>
        </is>
      </c>
      <c r="F21" s="23" t="inlineStr">
        <is>
          <t>On academic disciplines, India could take a leaf out of US' book</t>
        </is>
      </c>
      <c r="G21" s="23" t="inlineStr">
        <is>
          <t>Compartmentalizing education into rigid silos limits holistic thinking. Interdisciplinary learning and modern pedagogy are essential for equipping students with problem-solving skills for complex global challenges.</t>
        </is>
      </c>
      <c r="H21" s="24">
        <f>HYPERLINK("https://www.google.com/search?q=%22On%20academic%20disciplines%2C%20India%20could%20take%20a%20leaf%20out%20of%20US%27%20book%22%20The%20Economic%20Times%20Shobhit%20Mathur", "Search on Google")</f>
        <v/>
      </c>
      <c r="I21" s="22" t="inlineStr">
        <is>
          <t>Education &amp; Pedagogy</t>
        </is>
      </c>
      <c r="J21" s="22" t="inlineStr">
        <is>
          <t>Pedagogy</t>
        </is>
      </c>
    </row>
    <row r="22" ht="65" customHeight="1">
      <c r="A22" s="19" t="inlineStr">
        <is>
          <t>SM-021</t>
        </is>
      </c>
      <c r="B22" s="19" t="inlineStr">
        <is>
          <t>2023-01-04</t>
        </is>
      </c>
      <c r="C22" s="19" t="inlineStr">
        <is>
          <t>Livemint</t>
        </is>
      </c>
      <c r="D22" s="19" t="inlineStr">
        <is>
          <t>Suresh Prabhu</t>
        </is>
      </c>
      <c r="E22" s="19" t="inlineStr">
        <is>
          <t>Opinion Column</t>
        </is>
      </c>
      <c r="F22" s="20" t="inlineStr">
        <is>
          <t>We need biographies written of our great academic institutions</t>
        </is>
      </c>
      <c r="G22" s="20" t="inlineStr">
        <is>
          <t>Academic institutions carry deep institutional memory and cultural values. Documenting their biographies and historical milestones inspires upcoming generations and reinforces institutional excellence.</t>
        </is>
      </c>
      <c r="H22" s="21">
        <f>HYPERLINK("https://www.google.com/search?q=%22We%20need%20biographies%20written%20of%20our%20great%20academic%20institutions%22%20Livemint%20Shobhit%20Mathur", "Search on Google")</f>
        <v/>
      </c>
      <c r="I22" s="19" t="inlineStr">
        <is>
          <t>Education &amp; Pedagogy</t>
        </is>
      </c>
      <c r="J22" s="19" t="inlineStr">
        <is>
          <t>Higher Education</t>
        </is>
      </c>
    </row>
    <row r="23" ht="65" customHeight="1">
      <c r="A23" s="22" t="inlineStr">
        <is>
          <t>SM-022</t>
        </is>
      </c>
      <c r="B23" s="22" t="inlineStr">
        <is>
          <t>2022-12-01</t>
        </is>
      </c>
      <c r="C23" s="22" t="inlineStr">
        <is>
          <t>Livemint</t>
        </is>
      </c>
      <c r="D23" s="22" t="inlineStr">
        <is>
          <t>Suresh Prabhu</t>
        </is>
      </c>
      <c r="E23" s="22" t="inlineStr">
        <is>
          <t>Opinion Column</t>
        </is>
      </c>
      <c r="F23" s="23" t="inlineStr">
        <is>
          <t>Indian universities must prepare for foreign competition at home</t>
        </is>
      </c>
      <c r="G23" s="23" t="inlineStr">
        <is>
          <t>The entry of foreign universities into India presents both opportunities and challenges. Domestic higher education institutions must elevate research quality and pedagogical rigor to thrive in an open ecosystem.</t>
        </is>
      </c>
      <c r="H23" s="24">
        <f>HYPERLINK("https://www.google.com/search?q=%22Indian%20universities%20must%20prepare%20for%20foreign%20competition%20at%20home%22%20Livemint%20Shobhit%20Mathur", "Search on Google")</f>
        <v/>
      </c>
      <c r="I23" s="22" t="inlineStr">
        <is>
          <t>Education &amp; Pedagogy</t>
        </is>
      </c>
      <c r="J23" s="22" t="inlineStr">
        <is>
          <t>Higher Education</t>
        </is>
      </c>
    </row>
    <row r="24" ht="65" customHeight="1">
      <c r="A24" s="19" t="inlineStr">
        <is>
          <t>SM-023</t>
        </is>
      </c>
      <c r="B24" s="19" t="inlineStr">
        <is>
          <t>2022-09-12</t>
        </is>
      </c>
      <c r="C24" s="19" t="inlineStr">
        <is>
          <t>Swarajya</t>
        </is>
      </c>
      <c r="D24" s="19" t="inlineStr">
        <is>
          <t>Solo</t>
        </is>
      </c>
      <c r="E24" s="19" t="inlineStr">
        <is>
          <t>Opinion Column</t>
        </is>
      </c>
      <c r="F24" s="20" t="inlineStr">
        <is>
          <t>State capacity and civil society: Redefining NGO-government partnerships</t>
        </is>
      </c>
      <c r="G24" s="20" t="inlineStr">
        <is>
          <t>Civil society organizations and NGOs play an indispensable role in community-level governance and bridging policy delivery gaps. A collaborative model between the state and social innovators strengthens civic systems.</t>
        </is>
      </c>
      <c r="H24" s="21">
        <f>HYPERLINK("https://www.google.com/search?q=%22State%20capacity%20and%20civil%20society%3A%20Redefining%20NGO-government%20partnerships%22%20Swarajya%20Shobhit%20Mathur", "Search on Google")</f>
        <v/>
      </c>
      <c r="I24" s="19" t="inlineStr">
        <is>
          <t>Public Policy &amp; Governance</t>
        </is>
      </c>
      <c r="J24" s="19" t="inlineStr">
        <is>
          <t>Civic Systems</t>
        </is>
      </c>
    </row>
    <row r="25" ht="65" customHeight="1">
      <c r="A25" s="22" t="inlineStr">
        <is>
          <t>SM-024</t>
        </is>
      </c>
      <c r="B25" s="22" t="inlineStr">
        <is>
          <t>2020-03-09</t>
        </is>
      </c>
      <c r="C25" s="22" t="inlineStr">
        <is>
          <t>Swarajya</t>
        </is>
      </c>
      <c r="D25" s="22" t="inlineStr">
        <is>
          <t>Solo</t>
        </is>
      </c>
      <c r="E25" s="22" t="inlineStr">
        <is>
          <t>Interview</t>
        </is>
      </c>
      <c r="F25" s="23" t="inlineStr">
        <is>
          <t>The Idea Of Rashtram Stems From The Urgent Need To Generate Advanced Leadership In India</t>
        </is>
      </c>
      <c r="G25" s="23" t="inlineStr">
        <is>
          <t>India requires visionary leaders grounded in the civilizational ethos of Bharat and capable of navigating modern public policy complexities. Rashtram aims to institutionalize nation-building leadership education.</t>
        </is>
      </c>
      <c r="H25" s="24">
        <f>HYPERLINK("https://www.google.com/search?q=%22The%20Idea%20Of%20Rashtram%20Stems%20From%20The%20Urgent%20Need%20To%20Generate%20Advanced%20Leadership%20In%20India%22%20Swarajya%20Shobhit%20Mathur", "Search on Google")</f>
        <v/>
      </c>
      <c r="I25" s="22" t="inlineStr">
        <is>
          <t>Education &amp; Pedagogy</t>
        </is>
      </c>
      <c r="J25" s="22" t="inlineStr">
        <is>
          <t>Higher Education</t>
        </is>
      </c>
    </row>
    <row r="26" ht="65" customHeight="1">
      <c r="A26" s="19" t="inlineStr">
        <is>
          <t>SM-025</t>
        </is>
      </c>
      <c r="B26" s="19" t="inlineStr">
        <is>
          <t>2016-05-18</t>
        </is>
      </c>
      <c r="C26" s="19" t="inlineStr">
        <is>
          <t>The Hindu</t>
        </is>
      </c>
      <c r="D26" s="19" t="inlineStr">
        <is>
          <t>Nomesh Bolia</t>
        </is>
      </c>
      <c r="E26" s="19" t="inlineStr">
        <is>
          <t>Research Essay</t>
        </is>
      </c>
      <c r="F26" s="20" t="inlineStr">
        <is>
          <t>The MGNREGA index: Assessing implementation across states</t>
        </is>
      </c>
      <c r="G26" s="20" t="inlineStr">
        <is>
          <t>Empirical evaluation of rural employment schemes reveals critical disparities in wage payment delays and project completion. Developing robust civic indices is essential to evaluate state delivery mechanisms.</t>
        </is>
      </c>
      <c r="H26" s="21">
        <f>HYPERLINK("https://www.google.com/search?q=%22The%20MGNREGA%20index%3A%20Assessing%20implementation%20across%20states%22%20The%20Hindu%20Shobhit%20Mathur", "Search on Google")</f>
        <v/>
      </c>
      <c r="I26" s="19" t="inlineStr">
        <is>
          <t>Public Policy &amp; Governance</t>
        </is>
      </c>
      <c r="J26" s="19" t="inlineStr">
        <is>
          <t>Regulatory Frameworks</t>
        </is>
      </c>
    </row>
    <row r="27" ht="65" customHeight="1">
      <c r="A27" s="22" t="inlineStr">
        <is>
          <t>SM-026</t>
        </is>
      </c>
      <c r="B27" s="22" t="inlineStr">
        <is>
          <t>2016-01-21</t>
        </is>
      </c>
      <c r="C27" s="22" t="inlineStr">
        <is>
          <t>Swarajya</t>
        </is>
      </c>
      <c r="D27" s="22" t="inlineStr">
        <is>
          <t>Solo</t>
        </is>
      </c>
      <c r="E27" s="22" t="inlineStr">
        <is>
          <t>Opinion Column</t>
        </is>
      </c>
      <c r="F27" s="23" t="inlineStr">
        <is>
          <t>More NGOs In India Need To Work With The Government Instead Of Opposing It</t>
        </is>
      </c>
      <c r="G27" s="23" t="inlineStr">
        <is>
          <t>Constructive civic development occurs when non-governmental organizations partner directly with state administrative machinery rather than engaging in reflexive antagonism.</t>
        </is>
      </c>
      <c r="H27" s="24">
        <f>HYPERLINK("https://www.google.com/search?q=%22More%20NGOs%20In%20India%20Need%20To%20Work%20With%20The%20Government%20Instead%20Of%20Opposing%20It%22%20Swarajya%20Shobhit%20Mathur", "Search on Google")</f>
        <v/>
      </c>
      <c r="I27" s="22" t="inlineStr">
        <is>
          <t>Public Policy &amp; Governance</t>
        </is>
      </c>
      <c r="J27" s="22" t="inlineStr">
        <is>
          <t>Civic Systems</t>
        </is>
      </c>
    </row>
    <row r="28" ht="65" customHeight="1">
      <c r="A28" s="19" t="inlineStr">
        <is>
          <t>SM-027</t>
        </is>
      </c>
      <c r="B28" s="19" t="inlineStr">
        <is>
          <t>2024-08-20</t>
        </is>
      </c>
      <c r="C28" s="19" t="inlineStr">
        <is>
          <t>Financial Express</t>
        </is>
      </c>
      <c r="D28" s="19" t="inlineStr">
        <is>
          <t>Solo</t>
        </is>
      </c>
      <c r="E28" s="19" t="inlineStr">
        <is>
          <t>Opinion Column</t>
        </is>
      </c>
      <c r="F28" s="20" t="inlineStr">
        <is>
          <t>Integrating Indian Knowledge Systems with NEP 2020: Building Leadership for Gen Z</t>
        </is>
      </c>
      <c r="G28" s="20" t="inlineStr">
        <is>
          <t>Integrating Indian Knowledge Systems into modern university curricula enables students to develop holistic leadership, cultural grounding, and multidimensional problem-solving.</t>
        </is>
      </c>
      <c r="H28" s="21">
        <f>HYPERLINK("https://www.google.com/search?q=%22Integrating%20Indian%20Knowledge%20Systems%20with%20NEP%202020%3A%20Building%20Leadership%20for%20Gen%20Z%22%20Financial%20Express%20Shobhit%20Mathur", "Search on Google")</f>
        <v/>
      </c>
      <c r="I28" s="19" t="inlineStr">
        <is>
          <t>Education &amp; Pedagogy</t>
        </is>
      </c>
      <c r="J28" s="19" t="inlineStr">
        <is>
          <t>Higher Education</t>
        </is>
      </c>
    </row>
    <row r="29" ht="65" customHeight="1">
      <c r="A29" s="22" t="inlineStr">
        <is>
          <t>SM-028</t>
        </is>
      </c>
      <c r="B29" s="22" t="inlineStr">
        <is>
          <t>2018-02-11</t>
        </is>
      </c>
      <c r="C29" s="22" t="inlineStr">
        <is>
          <t>IndiaSpend</t>
        </is>
      </c>
      <c r="D29" s="22" t="inlineStr">
        <is>
          <t>Pallabi Mandal</t>
        </is>
      </c>
      <c r="E29" s="22" t="inlineStr">
        <is>
          <t>Research Essay</t>
        </is>
      </c>
      <c r="F29" s="23" t="inlineStr">
        <is>
          <t>Haphazard Appointment Of Judges Worsening High Court Judicial Delays</t>
        </is>
      </c>
      <c r="G29" s="23" t="inlineStr">
        <is>
          <t>Empirical analysis of Department of Justice data shows ad-hoc judge allocations exacerbate pendency. Systematic judicial appointments and caseload rationalization are urgent for civic justice delivery.</t>
        </is>
      </c>
      <c r="H29" s="24">
        <f>HYPERLINK("https://www.google.com/search?q=%22Haphazard%20Appointment%20Of%20Judges%20Worsening%20High%20Court%20Judicial%20Delays%22%20IndiaSpend%20Shobhit%20Mathur", "Search on Google")</f>
        <v/>
      </c>
      <c r="I29" s="22" t="inlineStr">
        <is>
          <t>Public Policy &amp; Governance</t>
        </is>
      </c>
      <c r="J29" s="22" t="inlineStr">
        <is>
          <t>Civic Systems</t>
        </is>
      </c>
    </row>
    <row r="30" ht="65" customHeight="1">
      <c r="A30" s="19" t="inlineStr">
        <is>
          <t>SM-029</t>
        </is>
      </c>
      <c r="B30" s="19" t="inlineStr">
        <is>
          <t>2016-04-29</t>
        </is>
      </c>
      <c r="C30" s="19" t="inlineStr">
        <is>
          <t>The Wire</t>
        </is>
      </c>
      <c r="D30" s="19" t="inlineStr">
        <is>
          <t>Nomesh Bolia</t>
        </is>
      </c>
      <c r="E30" s="19" t="inlineStr">
        <is>
          <t>Research Essay</t>
        </is>
      </c>
      <c r="F30" s="20" t="inlineStr">
        <is>
          <t>Worst Year Ever For MGNREGA, 23% Drop In Assets Created</t>
        </is>
      </c>
      <c r="G30" s="20" t="inlineStr">
        <is>
          <t>Assessing rural welfare schemes reveals sharp contractions in physical asset creation and wage disbursements. Regulatory efficiency and systemic accountability must guide rural social programs.</t>
        </is>
      </c>
      <c r="H30" s="21">
        <f>HYPERLINK("https://www.google.com/search?q=%22Worst%20Year%20Ever%20For%20MGNREGA%2C%2023%25%20Drop%20In%20Assets%20Created%22%20The%20Wire%20Shobhit%20Mathur", "Search on Google")</f>
        <v/>
      </c>
      <c r="I30" s="19" t="inlineStr">
        <is>
          <t>Public Policy &amp; Governance</t>
        </is>
      </c>
      <c r="J30" s="19" t="inlineStr">
        <is>
          <t>Regulatory Frameworks</t>
        </is>
      </c>
    </row>
    <row r="31" ht="65" customHeight="1">
      <c r="A31" s="22" t="inlineStr">
        <is>
          <t>SM-030</t>
        </is>
      </c>
      <c r="B31" s="22" t="inlineStr">
        <is>
          <t>2025-02-03</t>
        </is>
      </c>
      <c r="C31" s="22" t="inlineStr">
        <is>
          <t>NDTV</t>
        </is>
      </c>
      <c r="D31" s="22" t="inlineStr">
        <is>
          <t>Suresh Prabhu</t>
        </is>
      </c>
      <c r="E31" s="22" t="inlineStr">
        <is>
          <t>Opinion Column</t>
        </is>
      </c>
      <c r="F31" s="23" t="inlineStr">
        <is>
          <t>Outdated Laws Are Stifling India's Private Universities</t>
        </is>
      </c>
      <c r="G31" s="23" t="inlineStr">
        <is>
          <t>Regulatory rigidity and outdated governance laws are stifling private universities in India, preventing academic innovation, flexible student intake, and multidisciplinary education models essential for global competitiveness.</t>
        </is>
      </c>
      <c r="H31" s="24">
        <f>HYPERLINK("https://www.google.com/search?q=%22Outdated%20Laws%20Are%20Stifling%20India%27s%20Private%20Universities%22%20NDTV%20Shobhit%20Mathur", "Search on Google")</f>
        <v/>
      </c>
      <c r="I31" s="22" t="inlineStr">
        <is>
          <t>Education &amp; Pedagogy</t>
        </is>
      </c>
      <c r="J31" s="22" t="inlineStr">
        <is>
          <t>Systemic Reform</t>
        </is>
      </c>
    </row>
    <row r="32" ht="65" customHeight="1">
      <c r="A32" s="19" t="inlineStr">
        <is>
          <t>SM-031</t>
        </is>
      </c>
      <c r="B32" s="19" t="inlineStr">
        <is>
          <t>2017-03-31</t>
        </is>
      </c>
      <c r="C32" s="19" t="inlineStr">
        <is>
          <t>The Quint</t>
        </is>
      </c>
      <c r="D32" s="19" t="inlineStr">
        <is>
          <t>Solo</t>
        </is>
      </c>
      <c r="E32" s="19" t="inlineStr">
        <is>
          <t>Opinion Column</t>
        </is>
      </c>
      <c r="F32" s="20" t="inlineStr">
        <is>
          <t>Why Judicial Reform Should Start With Lower Courts</t>
        </is>
      </c>
      <c r="G32" s="20" t="inlineStr">
        <is>
          <t>Immediate improvements in the judicial system could be achieved by focusing on lower courts, collecting standardized case data, and horizontally replicating procedural innovations.</t>
        </is>
      </c>
      <c r="H32" s="21">
        <f>HYPERLINK("https://www.google.com/search?q=%22Why%20Judicial%20Reform%20Should%20Start%20With%20Lower%20Courts%22%20The%20Quint%20Shobhit%20Mathur", "Search on Google")</f>
        <v/>
      </c>
      <c r="I32" s="19" t="inlineStr">
        <is>
          <t>Public Policy &amp; Governance</t>
        </is>
      </c>
      <c r="J32" s="19" t="inlineStr">
        <is>
          <t>Civic Systems</t>
        </is>
      </c>
    </row>
    <row r="33" ht="65" customHeight="1">
      <c r="A33" s="22" t="inlineStr">
        <is>
          <t>SM-032</t>
        </is>
      </c>
      <c r="B33" s="22" t="inlineStr">
        <is>
          <t>2026-06-15</t>
        </is>
      </c>
      <c r="C33" s="22" t="inlineStr">
        <is>
          <t>LinkedIn Pulse / Print</t>
        </is>
      </c>
      <c r="D33" s="22" t="inlineStr">
        <is>
          <t>Suresh Prabhu</t>
        </is>
      </c>
      <c r="E33" s="22" t="inlineStr">
        <is>
          <t>Opinion Column</t>
        </is>
      </c>
      <c r="F33" s="23" t="inlineStr">
        <is>
          <t>Why education must teach systems thinking</t>
        </is>
      </c>
      <c r="G33" s="23" t="inlineStr">
        <is>
          <t>For over a century, modern education has been organised around disciplines. The defining challenges of our time emerge at intersections. The student trained exclusively within a single discipline is increasingly unprepared for the reality they will inherit. What is missing is ways of thinking that enable individuals to operate in a world of deeply interconnected systems.</t>
        </is>
      </c>
      <c r="H33" s="24">
        <f>HYPERLINK("https://www.google.com/search?q=%22Why%20education%20must%20teach%20systems%20thinking%22%20LinkedIn%20Pulse%20/%20Print%20Shobhit%20Mathur", "Search on Google")</f>
        <v/>
      </c>
      <c r="I33" s="22" t="inlineStr">
        <is>
          <t>Education &amp; Pedagogy</t>
        </is>
      </c>
      <c r="J33" s="22" t="inlineStr">
        <is>
          <t>Pedagogy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25" t="inlineStr">
        <is>
          <t>ID</t>
        </is>
      </c>
      <c r="B1" s="25" t="inlineStr">
        <is>
          <t>Date</t>
        </is>
      </c>
      <c r="C1" s="25" t="inlineStr">
        <is>
          <t>Publication</t>
        </is>
      </c>
      <c r="D1" s="25" t="inlineStr">
        <is>
          <t>Co-Authors</t>
        </is>
      </c>
      <c r="E1" s="25" t="inlineStr">
        <is>
          <t>Content Type</t>
        </is>
      </c>
      <c r="F1" s="25" t="inlineStr">
        <is>
          <t>Article Title</t>
        </is>
      </c>
      <c r="G1" s="25" t="inlineStr">
        <is>
          <t>Post Content (Author Commentary)</t>
        </is>
      </c>
      <c r="H1" s="25" t="inlineStr">
        <is>
          <t>URL</t>
        </is>
      </c>
      <c r="I1" s="25" t="inlineStr">
        <is>
          <t>Primary Classification</t>
        </is>
      </c>
      <c r="J1" s="25" t="inlineStr">
        <is>
          <t>Sub-classification</t>
        </is>
      </c>
    </row>
    <row r="2" ht="65" customHeight="1">
      <c r="A2" s="19" t="inlineStr">
        <is>
          <t>SM-001</t>
        </is>
      </c>
      <c r="B2" s="19" t="inlineStr">
        <is>
          <t>2026-08-05</t>
        </is>
      </c>
      <c r="C2" s="19" t="inlineStr">
        <is>
          <t>The Hindu</t>
        </is>
      </c>
      <c r="D2" s="19" t="inlineStr">
        <is>
          <t>Solo</t>
        </is>
      </c>
      <c r="E2" s="19" t="inlineStr">
        <is>
          <t>Opinion Column</t>
        </is>
      </c>
      <c r="F2" s="20" t="inlineStr">
        <is>
          <t>How the NEET can be restructured to end question paper leaks</t>
        </is>
      </c>
      <c r="G2" s="20" t="inlineStr">
        <is>
          <t>Examination leaks erode student morale and damage institutional credibility. Rebuilding faith in national entrance tests like NEET requires integrating modern computerized testing infrastructure with accountable state governance.</t>
        </is>
      </c>
      <c r="H2" s="21">
        <f>HYPERLINK("https://www.google.com/search?q=%22How%20the%20NEET%20can%20be%20restructured%20to%20end%20question%20paper%20leaks%22%20The%20Hindu%20Shobhit%20Mathur", "Search on Google")</f>
        <v/>
      </c>
      <c r="I2" s="19" t="inlineStr">
        <is>
          <t>Education &amp; Pedagogy</t>
        </is>
      </c>
      <c r="J2" s="19" t="inlineStr">
        <is>
          <t>Systemic Reform</t>
        </is>
      </c>
    </row>
    <row r="3" ht="65" customHeight="1">
      <c r="A3" s="22" t="inlineStr">
        <is>
          <t>SM-002</t>
        </is>
      </c>
      <c r="B3" s="22" t="inlineStr">
        <is>
          <t>2026-07-29</t>
        </is>
      </c>
      <c r="C3" s="22" t="inlineStr">
        <is>
          <t>ThePrint</t>
        </is>
      </c>
      <c r="D3" s="22" t="inlineStr">
        <is>
          <t>Suresh Prabhu</t>
        </is>
      </c>
      <c r="E3" s="22" t="inlineStr">
        <is>
          <t>Opinion Column</t>
        </is>
      </c>
      <c r="F3" s="23" t="inlineStr">
        <is>
          <t>India topped the Physics Olympiad. Now it needs schools built for minds like these</t>
        </is>
      </c>
      <c r="G3" s="23" t="inlineStr">
        <is>
          <t>India's triumphant performance at the International Physics Olympiad demonstrates the immense raw intellect of our students. However, our standard classrooms and rote systems fail to nurture exceptional talent. We need specialized schools, talent incubators, and modern pedagogy designed specifically for extraordinary minds.</t>
        </is>
      </c>
      <c r="H3" s="24">
        <f>HYPERLINK("https://www.google.com/search?q=%22India%20topped%20the%20Physics%20Olympiad.%20Now%20it%20needs%20schools%20built%20for%20minds%20like%20these%22%20ThePrint%20Shobhit%20Mathur", "Search on Google")</f>
        <v/>
      </c>
      <c r="I3" s="22" t="inlineStr">
        <is>
          <t>Education &amp; Pedagogy</t>
        </is>
      </c>
      <c r="J3" s="22" t="inlineStr">
        <is>
          <t>Pedagogy</t>
        </is>
      </c>
    </row>
    <row r="4" ht="65" customHeight="1">
      <c r="A4" s="19" t="inlineStr">
        <is>
          <t>SM-007</t>
        </is>
      </c>
      <c r="B4" s="19" t="inlineStr">
        <is>
          <t>2026-04-21</t>
        </is>
      </c>
      <c r="C4" s="19" t="inlineStr">
        <is>
          <t>ThePrint</t>
        </is>
      </c>
      <c r="D4" s="19" t="inlineStr">
        <is>
          <t>Suresh Prabhu</t>
        </is>
      </c>
      <c r="E4" s="19" t="inlineStr">
        <is>
          <t>Opinion Column</t>
        </is>
      </c>
      <c r="F4" s="20" t="inlineStr">
        <is>
          <t>University townships — India's chance to build its own version of what America got right</t>
        </is>
      </c>
      <c r="G4" s="20" t="inlineStr">
        <is>
          <t>Vibrant university towns serve as powerful engines of innovation, research, and local economic development. Developing integrated higher education campuses in India can transform regional growth.</t>
        </is>
      </c>
      <c r="H4" s="21">
        <f>HYPERLINK("https://www.google.com/search?q=%22University%20townships%20%E2%80%94%20India%27s%20chance%20to%20build%20its%20own%20version%20of%20what%20America%20got%20right%22%20ThePrint%20Shobhit%20Mathur", "Search on Google")</f>
        <v/>
      </c>
      <c r="I4" s="19" t="inlineStr">
        <is>
          <t>Education &amp; Pedagogy</t>
        </is>
      </c>
      <c r="J4" s="19" t="inlineStr">
        <is>
          <t>Higher Education</t>
        </is>
      </c>
    </row>
    <row r="5" ht="65" customHeight="1">
      <c r="A5" s="22" t="inlineStr">
        <is>
          <t>SM-008</t>
        </is>
      </c>
      <c r="B5" s="22" t="inlineStr">
        <is>
          <t>2026-02-11</t>
        </is>
      </c>
      <c r="C5" s="22" t="inlineStr">
        <is>
          <t>ThePrint</t>
        </is>
      </c>
      <c r="D5" s="22" t="inlineStr">
        <is>
          <t>Suresh Prabhu</t>
        </is>
      </c>
      <c r="E5" s="22" t="inlineStr">
        <is>
          <t>Opinion Column</t>
        </is>
      </c>
      <c r="F5" s="23" t="inlineStr">
        <is>
          <t>For-profit medical colleges are a step forward. Education is defined by outcomes, not ownership</t>
        </is>
      </c>
      <c r="G5" s="23" t="inlineStr">
        <is>
          <t>Expanding access to healthcare training requires enabling responsible private capital. Allowing for-profit medical colleges will bridge massive capacity shortages while regulatory frameworks ensure educational quality.</t>
        </is>
      </c>
      <c r="H5" s="24">
        <f>HYPERLINK("https://www.google.com/search?q=%22For-profit%20medical%20colleges%20are%20a%20step%20forward.%20Education%20is%20defined%20by%20outcomes%2C%20not%20ownership%22%20ThePrint%20Shobhit%20Mathur", "Search on Google")</f>
        <v/>
      </c>
      <c r="I5" s="22" t="inlineStr">
        <is>
          <t>Education &amp; Pedagogy</t>
        </is>
      </c>
      <c r="J5" s="22" t="inlineStr">
        <is>
          <t>Higher Education</t>
        </is>
      </c>
    </row>
    <row r="6" ht="65" customHeight="1">
      <c r="A6" s="19" t="inlineStr">
        <is>
          <t>SM-010</t>
        </is>
      </c>
      <c r="B6" s="19" t="inlineStr">
        <is>
          <t>2025-06-10</t>
        </is>
      </c>
      <c r="C6" s="19" t="inlineStr">
        <is>
          <t>The Economic Times</t>
        </is>
      </c>
      <c r="D6" s="19" t="inlineStr">
        <is>
          <t>Solo</t>
        </is>
      </c>
      <c r="E6" s="19" t="inlineStr">
        <is>
          <t>Opinion Column</t>
        </is>
      </c>
      <c r="F6" s="20" t="inlineStr">
        <is>
          <t>Fit to learn, fit to lead: Why India must rescue physical education now</t>
        </is>
      </c>
      <c r="G6" s="20" t="inlineStr">
        <is>
          <t>Declining physical engagement and sedentary academic environments hinder cognitive growth. Re-integrating sports and movement into our classrooms and curriculum is vital for student leadership.</t>
        </is>
      </c>
      <c r="H6" s="21">
        <f>HYPERLINK("https://www.google.com/search?q=%22Fit%20to%20learn%2C%20fit%20to%20lead%3A%20Why%20India%20must%20rescue%20physical%20education%20now%22%20The%20Economic%20Times%20Shobhit%20Mathur", "Search on Google")</f>
        <v/>
      </c>
      <c r="I6" s="19" t="inlineStr">
        <is>
          <t>Education &amp; Pedagogy</t>
        </is>
      </c>
      <c r="J6" s="19" t="inlineStr">
        <is>
          <t>Pedagogy</t>
        </is>
      </c>
    </row>
    <row r="7" ht="65" customHeight="1">
      <c r="A7" s="22" t="inlineStr">
        <is>
          <t>SM-012</t>
        </is>
      </c>
      <c r="B7" s="22" t="inlineStr">
        <is>
          <t>2024-11-15</t>
        </is>
      </c>
      <c r="C7" s="22" t="inlineStr">
        <is>
          <t>The Hindu</t>
        </is>
      </c>
      <c r="D7" s="22" t="inlineStr">
        <is>
          <t>Kankana Trivedi</t>
        </is>
      </c>
      <c r="E7" s="22" t="inlineStr">
        <is>
          <t>Research Essay</t>
        </is>
      </c>
      <c r="F7" s="23" t="inlineStr">
        <is>
          <t>Emerging trends in Public Policy Education in India</t>
        </is>
      </c>
      <c r="G7" s="23" t="inlineStr">
        <is>
          <t>India's rapid socioeconomic evolution demands specialized public policy education that bridges grassroots realities with rigorous institutional governance and evidence-based policymaking.</t>
        </is>
      </c>
      <c r="H7" s="24">
        <f>HYPERLINK("https://www.google.com/search?q=%22Emerging%20trends%20in%20Public%20Policy%20Education%20in%20India%22%20The%20Hindu%20Shobhit%20Mathur", "Search on Google")</f>
        <v/>
      </c>
      <c r="I7" s="22" t="inlineStr">
        <is>
          <t>Education &amp; Pedagogy</t>
        </is>
      </c>
      <c r="J7" s="22" t="inlineStr">
        <is>
          <t>Higher Education</t>
        </is>
      </c>
    </row>
    <row r="8" ht="65" customHeight="1">
      <c r="A8" s="19" t="inlineStr">
        <is>
          <t>SM-013</t>
        </is>
      </c>
      <c r="B8" s="19" t="inlineStr">
        <is>
          <t>2024-06-25</t>
        </is>
      </c>
      <c r="C8" s="19" t="inlineStr">
        <is>
          <t>The Indian Express</t>
        </is>
      </c>
      <c r="D8" s="19" t="inlineStr">
        <is>
          <t>Suresh Prabhu</t>
        </is>
      </c>
      <c r="E8" s="19" t="inlineStr">
        <is>
          <t>Opinion Column</t>
        </is>
      </c>
      <c r="F8" s="20" t="inlineStr">
        <is>
          <t>To escape annual cycle of leaks and stress, India needs a new exam design</t>
        </is>
      </c>
      <c r="G8" s="20" t="inlineStr">
        <is>
          <t>High-stakes, single-day competitive exams create immense pressure on students and foster corrupt coaching cartels. We propose a computerized, multi-stage assessment system to drive genuine systemic reform in education policy.</t>
        </is>
      </c>
      <c r="H8" s="21">
        <f>HYPERLINK("https://www.google.com/search?q=%22To%20escape%20annual%20cycle%20of%20leaks%20and%20stress%2C%20India%20needs%20a%20new%20exam%20design%22%20The%20Indian%20Express%20Shobhit%20Mathur", "Search on Google")</f>
        <v/>
      </c>
      <c r="I8" s="19" t="inlineStr">
        <is>
          <t>Education &amp; Pedagogy</t>
        </is>
      </c>
      <c r="J8" s="19" t="inlineStr">
        <is>
          <t>Systemic Reform</t>
        </is>
      </c>
    </row>
    <row r="9" ht="65" customHeight="1">
      <c r="A9" s="22" t="inlineStr">
        <is>
          <t>SM-014</t>
        </is>
      </c>
      <c r="B9" s="22" t="inlineStr">
        <is>
          <t>2024-06-19</t>
        </is>
      </c>
      <c r="C9" s="22" t="inlineStr">
        <is>
          <t>Livemint</t>
        </is>
      </c>
      <c r="D9" s="22" t="inlineStr">
        <is>
          <t>Suresh Prabhu</t>
        </is>
      </c>
      <c r="E9" s="22" t="inlineStr">
        <is>
          <t>Opinion Column</t>
        </is>
      </c>
      <c r="F9" s="23" t="inlineStr">
        <is>
          <t>Educators should leverage AI for an educational transformation</t>
        </is>
      </c>
      <c r="G9" s="23" t="inlineStr">
        <is>
          <t>Artificial intelligence gives us an unprecedented opportunity to provide personalized tutoring at scale. Educational institutions and teachers must embrace EdTech and GenAI tools to personalize classroom pedagogy.</t>
        </is>
      </c>
      <c r="H9" s="24">
        <f>HYPERLINK("https://www.google.com/search?q=%22Educators%20should%20leverage%20AI%20for%20an%20educational%20transformation%22%20Livemint%20Shobhit%20Mathur", "Search on Google")</f>
        <v/>
      </c>
      <c r="I9" s="22" t="inlineStr">
        <is>
          <t>Education &amp; Pedagogy</t>
        </is>
      </c>
      <c r="J9" s="22" t="inlineStr">
        <is>
          <t>Higher Education</t>
        </is>
      </c>
    </row>
    <row r="10" ht="65" customHeight="1">
      <c r="A10" s="19" t="inlineStr">
        <is>
          <t>SM-015</t>
        </is>
      </c>
      <c r="B10" s="19" t="inlineStr">
        <is>
          <t>2024-05-14</t>
        </is>
      </c>
      <c r="C10" s="19" t="inlineStr">
        <is>
          <t>Hindustan Times</t>
        </is>
      </c>
      <c r="D10" s="19" t="inlineStr">
        <is>
          <t>Solo</t>
        </is>
      </c>
      <c r="E10" s="19" t="inlineStr">
        <is>
          <t>Opinion Column</t>
        </is>
      </c>
      <c r="F10" s="20" t="inlineStr">
        <is>
          <t>India needs policy support for entrepreneurial universities</t>
        </is>
      </c>
      <c r="G10" s="20" t="inlineStr">
        <is>
          <t>Transitioning Indian higher education from degree factories to entrepreneurship hubs requires responsive regulatory frameworks and government policies that support student startups and venture creation.</t>
        </is>
      </c>
      <c r="H10" s="21">
        <f>HYPERLINK("https://www.google.com/search?q=%22India%20needs%20policy%20support%20for%20entrepreneurial%20universities%22%20Hindustan%20Times%20Shobhit%20Mathur", "Search on Google")</f>
        <v/>
      </c>
      <c r="I10" s="19" t="inlineStr">
        <is>
          <t>Education &amp; Pedagogy</t>
        </is>
      </c>
      <c r="J10" s="19" t="inlineStr">
        <is>
          <t>Higher Education</t>
        </is>
      </c>
    </row>
    <row r="11" ht="65" customHeight="1">
      <c r="A11" s="22" t="inlineStr">
        <is>
          <t>SM-016</t>
        </is>
      </c>
      <c r="B11" s="22" t="inlineStr">
        <is>
          <t>2024-03-08</t>
        </is>
      </c>
      <c r="C11" s="22" t="inlineStr">
        <is>
          <t>NDTV</t>
        </is>
      </c>
      <c r="D11" s="22" t="inlineStr">
        <is>
          <t>Solo</t>
        </is>
      </c>
      <c r="E11" s="22" t="inlineStr">
        <is>
          <t>Opinion Column</t>
        </is>
      </c>
      <c r="F11" s="23" t="inlineStr">
        <is>
          <t>Why India needs high-performing private universities with public purpose</t>
        </is>
      </c>
      <c r="G11" s="23" t="inlineStr">
        <is>
          <t>Private universities must step up to meet global standards while grounding education in civic responsibility and nation-building values. Regulatory bodies should incentivize institutional autonomy.</t>
        </is>
      </c>
      <c r="H11" s="24">
        <f>HYPERLINK("https://www.google.com/search?q=%22Why%20India%20needs%20high-performing%20private%20universities%20with%20public%20purpose%22%20NDTV%20Shobhit%20Mathur", "Search on Google")</f>
        <v/>
      </c>
      <c r="I11" s="22" t="inlineStr">
        <is>
          <t>Education &amp; Pedagogy</t>
        </is>
      </c>
      <c r="J11" s="22" t="inlineStr">
        <is>
          <t>Higher Education</t>
        </is>
      </c>
    </row>
    <row r="12" ht="65" customHeight="1">
      <c r="A12" s="19" t="inlineStr">
        <is>
          <t>SM-019</t>
        </is>
      </c>
      <c r="B12" s="19" t="inlineStr">
        <is>
          <t>2023-07-26</t>
        </is>
      </c>
      <c r="C12" s="19" t="inlineStr">
        <is>
          <t>Livemint</t>
        </is>
      </c>
      <c r="D12" s="19" t="inlineStr">
        <is>
          <t>Suresh Prabhu</t>
        </is>
      </c>
      <c r="E12" s="19" t="inlineStr">
        <is>
          <t>Opinion Column</t>
        </is>
      </c>
      <c r="F12" s="20" t="inlineStr">
        <is>
          <t>Universities should lead the way as we adapt to the future of work</t>
        </is>
      </c>
      <c r="G12" s="20" t="inlineStr">
        <is>
          <t>As artificial intelligence and automation reshape industry demands, universities must overhaul curricula to prioritize critical thinking, adaptability, and multidisciplinary skills for the future of work.</t>
        </is>
      </c>
      <c r="H12" s="21">
        <f>HYPERLINK("https://www.google.com/search?q=%22Universities%20should%20lead%20the%20way%20as%20we%20adapt%20to%20the%20future%20of%20work%22%20Livemint%20Shobhit%20Mathur", "Search on Google")</f>
        <v/>
      </c>
      <c r="I12" s="19" t="inlineStr">
        <is>
          <t>Education &amp; Pedagogy</t>
        </is>
      </c>
      <c r="J12" s="19" t="inlineStr">
        <is>
          <t>Higher Education</t>
        </is>
      </c>
    </row>
    <row r="13" ht="65" customHeight="1">
      <c r="A13" s="22" t="inlineStr">
        <is>
          <t>SM-020</t>
        </is>
      </c>
      <c r="B13" s="22" t="inlineStr">
        <is>
          <t>2023-06-15</t>
        </is>
      </c>
      <c r="C13" s="22" t="inlineStr">
        <is>
          <t>The Economic Times</t>
        </is>
      </c>
      <c r="D13" s="22" t="inlineStr">
        <is>
          <t>Solo</t>
        </is>
      </c>
      <c r="E13" s="22" t="inlineStr">
        <is>
          <t>Opinion Column</t>
        </is>
      </c>
      <c r="F13" s="23" t="inlineStr">
        <is>
          <t>On academic disciplines, India could take a leaf out of US' book</t>
        </is>
      </c>
      <c r="G13" s="23" t="inlineStr">
        <is>
          <t>Compartmentalizing education into rigid silos limits holistic thinking. Interdisciplinary learning and modern pedagogy are essential for equipping students with problem-solving skills for complex global challenges.</t>
        </is>
      </c>
      <c r="H13" s="24">
        <f>HYPERLINK("https://www.google.com/search?q=%22On%20academic%20disciplines%2C%20India%20could%20take%20a%20leaf%20out%20of%20US%27%20book%22%20The%20Economic%20Times%20Shobhit%20Mathur", "Search on Google")</f>
        <v/>
      </c>
      <c r="I13" s="22" t="inlineStr">
        <is>
          <t>Education &amp; Pedagogy</t>
        </is>
      </c>
      <c r="J13" s="22" t="inlineStr">
        <is>
          <t>Pedagogy</t>
        </is>
      </c>
    </row>
    <row r="14" ht="65" customHeight="1">
      <c r="A14" s="19" t="inlineStr">
        <is>
          <t>SM-021</t>
        </is>
      </c>
      <c r="B14" s="19" t="inlineStr">
        <is>
          <t>2023-01-04</t>
        </is>
      </c>
      <c r="C14" s="19" t="inlineStr">
        <is>
          <t>Livemint</t>
        </is>
      </c>
      <c r="D14" s="19" t="inlineStr">
        <is>
          <t>Suresh Prabhu</t>
        </is>
      </c>
      <c r="E14" s="19" t="inlineStr">
        <is>
          <t>Opinion Column</t>
        </is>
      </c>
      <c r="F14" s="20" t="inlineStr">
        <is>
          <t>We need biographies written of our great academic institutions</t>
        </is>
      </c>
      <c r="G14" s="20" t="inlineStr">
        <is>
          <t>Academic institutions carry deep institutional memory and cultural values. Documenting their biographies and historical milestones inspires upcoming generations and reinforces institutional excellence.</t>
        </is>
      </c>
      <c r="H14" s="21">
        <f>HYPERLINK("https://www.google.com/search?q=%22We%20need%20biographies%20written%20of%20our%20great%20academic%20institutions%22%20Livemint%20Shobhit%20Mathur", "Search on Google")</f>
        <v/>
      </c>
      <c r="I14" s="19" t="inlineStr">
        <is>
          <t>Education &amp; Pedagogy</t>
        </is>
      </c>
      <c r="J14" s="19" t="inlineStr">
        <is>
          <t>Higher Education</t>
        </is>
      </c>
    </row>
    <row r="15" ht="65" customHeight="1">
      <c r="A15" s="22" t="inlineStr">
        <is>
          <t>SM-022</t>
        </is>
      </c>
      <c r="B15" s="22" t="inlineStr">
        <is>
          <t>2022-12-01</t>
        </is>
      </c>
      <c r="C15" s="22" t="inlineStr">
        <is>
          <t>Livemint</t>
        </is>
      </c>
      <c r="D15" s="22" t="inlineStr">
        <is>
          <t>Suresh Prabhu</t>
        </is>
      </c>
      <c r="E15" s="22" t="inlineStr">
        <is>
          <t>Opinion Column</t>
        </is>
      </c>
      <c r="F15" s="23" t="inlineStr">
        <is>
          <t>Indian universities must prepare for foreign competition at home</t>
        </is>
      </c>
      <c r="G15" s="23" t="inlineStr">
        <is>
          <t>The entry of foreign universities into India presents both opportunities and challenges. Domestic higher education institutions must elevate research quality and pedagogical rigor to thrive in an open ecosystem.</t>
        </is>
      </c>
      <c r="H15" s="24">
        <f>HYPERLINK("https://www.google.com/search?q=%22Indian%20universities%20must%20prepare%20for%20foreign%20competition%20at%20home%22%20Livemint%20Shobhit%20Mathur", "Search on Google")</f>
        <v/>
      </c>
      <c r="I15" s="22" t="inlineStr">
        <is>
          <t>Education &amp; Pedagogy</t>
        </is>
      </c>
      <c r="J15" s="22" t="inlineStr">
        <is>
          <t>Higher Education</t>
        </is>
      </c>
    </row>
    <row r="16" ht="65" customHeight="1">
      <c r="A16" s="19" t="inlineStr">
        <is>
          <t>SM-024</t>
        </is>
      </c>
      <c r="B16" s="19" t="inlineStr">
        <is>
          <t>2020-03-09</t>
        </is>
      </c>
      <c r="C16" s="19" t="inlineStr">
        <is>
          <t>Swarajya</t>
        </is>
      </c>
      <c r="D16" s="19" t="inlineStr">
        <is>
          <t>Solo</t>
        </is>
      </c>
      <c r="E16" s="19" t="inlineStr">
        <is>
          <t>Interview</t>
        </is>
      </c>
      <c r="F16" s="20" t="inlineStr">
        <is>
          <t>The Idea Of Rashtram Stems From The Urgent Need To Generate Advanced Leadership In India</t>
        </is>
      </c>
      <c r="G16" s="20" t="inlineStr">
        <is>
          <t>India requires visionary leaders grounded in the civilizational ethos of Bharat and capable of navigating modern public policy complexities. Rashtram aims to institutionalize nation-building leadership education.</t>
        </is>
      </c>
      <c r="H16" s="21">
        <f>HYPERLINK("https://www.google.com/search?q=%22The%20Idea%20Of%20Rashtram%20Stems%20From%20The%20Urgent%20Need%20To%20Generate%20Advanced%20Leadership%20In%20India%22%20Swarajya%20Shobhit%20Mathur", "Search on Google")</f>
        <v/>
      </c>
      <c r="I16" s="19" t="inlineStr">
        <is>
          <t>Education &amp; Pedagogy</t>
        </is>
      </c>
      <c r="J16" s="19" t="inlineStr">
        <is>
          <t>Higher Education</t>
        </is>
      </c>
    </row>
    <row r="17" ht="65" customHeight="1">
      <c r="A17" s="22" t="inlineStr">
        <is>
          <t>SM-027</t>
        </is>
      </c>
      <c r="B17" s="22" t="inlineStr">
        <is>
          <t>2024-08-20</t>
        </is>
      </c>
      <c r="C17" s="22" t="inlineStr">
        <is>
          <t>Financial Express</t>
        </is>
      </c>
      <c r="D17" s="22" t="inlineStr">
        <is>
          <t>Solo</t>
        </is>
      </c>
      <c r="E17" s="22" t="inlineStr">
        <is>
          <t>Opinion Column</t>
        </is>
      </c>
      <c r="F17" s="23" t="inlineStr">
        <is>
          <t>Integrating Indian Knowledge Systems with NEP 2020: Building Leadership for Gen Z</t>
        </is>
      </c>
      <c r="G17" s="23" t="inlineStr">
        <is>
          <t>Integrating Indian Knowledge Systems into modern university curricula enables students to develop holistic leadership, cultural grounding, and multidimensional problem-solving.</t>
        </is>
      </c>
      <c r="H17" s="24">
        <f>HYPERLINK("https://www.google.com/search?q=%22Integrating%20Indian%20Knowledge%20Systems%20with%20NEP%202020%3A%20Building%20Leadership%20for%20Gen%20Z%22%20Financial%20Express%20Shobhit%20Mathur", "Search on Google")</f>
        <v/>
      </c>
      <c r="I17" s="22" t="inlineStr">
        <is>
          <t>Education &amp; Pedagogy</t>
        </is>
      </c>
      <c r="J17" s="22" t="inlineStr">
        <is>
          <t>Higher Education</t>
        </is>
      </c>
    </row>
    <row r="18" ht="65" customHeight="1">
      <c r="A18" s="19" t="inlineStr">
        <is>
          <t>SM-030</t>
        </is>
      </c>
      <c r="B18" s="19" t="inlineStr">
        <is>
          <t>2025-02-03</t>
        </is>
      </c>
      <c r="C18" s="19" t="inlineStr">
        <is>
          <t>NDTV</t>
        </is>
      </c>
      <c r="D18" s="19" t="inlineStr">
        <is>
          <t>Suresh Prabhu</t>
        </is>
      </c>
      <c r="E18" s="19" t="inlineStr">
        <is>
          <t>Opinion Column</t>
        </is>
      </c>
      <c r="F18" s="20" t="inlineStr">
        <is>
          <t>Outdated Laws Are Stifling India's Private Universities</t>
        </is>
      </c>
      <c r="G18" s="20" t="inlineStr">
        <is>
          <t>Regulatory rigidity and outdated governance laws are stifling private universities in India, preventing academic innovation, flexible student intake, and multidisciplinary education models essential for global competitiveness.</t>
        </is>
      </c>
      <c r="H18" s="21">
        <f>HYPERLINK("https://www.google.com/search?q=%22Outdated%20Laws%20Are%20Stifling%20India%27s%20Private%20Universities%22%20NDTV%20Shobhit%20Mathur", "Search on Google")</f>
        <v/>
      </c>
      <c r="I18" s="19" t="inlineStr">
        <is>
          <t>Education &amp; Pedagogy</t>
        </is>
      </c>
      <c r="J18" s="19" t="inlineStr">
        <is>
          <t>Systemic Reform</t>
        </is>
      </c>
    </row>
    <row r="19" ht="65" customHeight="1">
      <c r="A19" s="22" t="inlineStr">
        <is>
          <t>SM-032</t>
        </is>
      </c>
      <c r="B19" s="22" t="inlineStr">
        <is>
          <t>2026-06-15</t>
        </is>
      </c>
      <c r="C19" s="22" t="inlineStr">
        <is>
          <t>LinkedIn Pulse / Print</t>
        </is>
      </c>
      <c r="D19" s="22" t="inlineStr">
        <is>
          <t>Suresh Prabhu</t>
        </is>
      </c>
      <c r="E19" s="22" t="inlineStr">
        <is>
          <t>Opinion Column</t>
        </is>
      </c>
      <c r="F19" s="23" t="inlineStr">
        <is>
          <t>Why education must teach systems thinking</t>
        </is>
      </c>
      <c r="G19" s="23" t="inlineStr">
        <is>
          <t>For over a century, modern education has been organised around disciplines. The defining challenges of our time emerge at intersections. The student trained exclusively within a single discipline is increasingly unprepared for the reality they will inherit. What is missing is ways of thinking that enable individuals to operate in a world of deeply interconnected systems.</t>
        </is>
      </c>
      <c r="H19" s="24">
        <f>HYPERLINK("https://www.google.com/search?q=%22Why%20education%20must%20teach%20systems%20thinking%22%20LinkedIn%20Pulse%20/%20Print%20Shobhit%20Mathur", "Search on Google")</f>
        <v/>
      </c>
      <c r="I19" s="22" t="inlineStr">
        <is>
          <t>Education &amp; Pedagogy</t>
        </is>
      </c>
      <c r="J19" s="22" t="inlineStr">
        <is>
          <t>Pedagogy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26" t="inlineStr">
        <is>
          <t>ID</t>
        </is>
      </c>
      <c r="B1" s="26" t="inlineStr">
        <is>
          <t>Date</t>
        </is>
      </c>
      <c r="C1" s="26" t="inlineStr">
        <is>
          <t>Publication</t>
        </is>
      </c>
      <c r="D1" s="26" t="inlineStr">
        <is>
          <t>Co-Authors</t>
        </is>
      </c>
      <c r="E1" s="26" t="inlineStr">
        <is>
          <t>Content Type</t>
        </is>
      </c>
      <c r="F1" s="26" t="inlineStr">
        <is>
          <t>Article Title</t>
        </is>
      </c>
      <c r="G1" s="26" t="inlineStr">
        <is>
          <t>Post Content (Author Commentary)</t>
        </is>
      </c>
      <c r="H1" s="26" t="inlineStr">
        <is>
          <t>URL</t>
        </is>
      </c>
      <c r="I1" s="26" t="inlineStr">
        <is>
          <t>Primary Classification</t>
        </is>
      </c>
      <c r="J1" s="26" t="inlineStr">
        <is>
          <t>Sub-classification</t>
        </is>
      </c>
    </row>
    <row r="2" ht="65" customHeight="1">
      <c r="A2" s="19" t="inlineStr">
        <is>
          <t>SM-003</t>
        </is>
      </c>
      <c r="B2" s="19" t="inlineStr">
        <is>
          <t>2026-07-07</t>
        </is>
      </c>
      <c r="C2" s="19" t="inlineStr">
        <is>
          <t>ThePrint</t>
        </is>
      </c>
      <c r="D2" s="19" t="inlineStr">
        <is>
          <t>Suresh Prabhu</t>
        </is>
      </c>
      <c r="E2" s="19" t="inlineStr">
        <is>
          <t>Opinion Column</t>
        </is>
      </c>
      <c r="F2" s="20" t="inlineStr">
        <is>
          <t>What India can learn from America at 250</t>
        </is>
      </c>
      <c r="G2" s="20" t="inlineStr">
        <is>
          <t>As the United States marks 250 years, India should reflect on constitutional resilience, institutional balance, and state capacity. Building robust civic systems and transparent laws is foundational for sustainable nation-building.</t>
        </is>
      </c>
      <c r="H2" s="21">
        <f>HYPERLINK("https://www.google.com/search?q=%22What%20India%20can%20learn%20from%20America%20at%20250%22%20ThePrint%20Shobhit%20Mathur", "Search on Google")</f>
        <v/>
      </c>
      <c r="I2" s="19" t="inlineStr">
        <is>
          <t>Public Policy &amp; Governance</t>
        </is>
      </c>
      <c r="J2" s="19" t="inlineStr">
        <is>
          <t>Nation-Building</t>
        </is>
      </c>
    </row>
    <row r="3" ht="65" customHeight="1">
      <c r="A3" s="22" t="inlineStr">
        <is>
          <t>SM-006</t>
        </is>
      </c>
      <c r="B3" s="22" t="inlineStr">
        <is>
          <t>2026-05-28</t>
        </is>
      </c>
      <c r="C3" s="22" t="inlineStr">
        <is>
          <t>The Economic Times</t>
        </is>
      </c>
      <c r="D3" s="22" t="inlineStr">
        <is>
          <t>Suresh Prabhu</t>
        </is>
      </c>
      <c r="E3" s="22" t="inlineStr">
        <is>
          <t>Opinion Column</t>
        </is>
      </c>
      <c r="F3" s="23" t="inlineStr">
        <is>
          <t>India and the new economics of constraint</t>
        </is>
      </c>
      <c r="G3" s="23" t="inlineStr">
        <is>
          <t>In an era of fractured supply chains and shifting global alliances, India faces a new economics of constraint. We must rethink our regulatory frameworks and strategic domestic capacity to build economic resilience.</t>
        </is>
      </c>
      <c r="H3" s="24">
        <f>HYPERLINK("https://www.google.com/search?q=%22India%20and%20the%20new%20economics%20of%20constraint%22%20The%20Economic%20Times%20Shobhit%20Mathur", "Search on Google")</f>
        <v/>
      </c>
      <c r="I3" s="22" t="inlineStr">
        <is>
          <t>Public Policy &amp; Governance</t>
        </is>
      </c>
      <c r="J3" s="22" t="inlineStr">
        <is>
          <t>Regulatory Frameworks</t>
        </is>
      </c>
    </row>
    <row r="4" ht="65" customHeight="1">
      <c r="A4" s="19" t="inlineStr">
        <is>
          <t>SM-017</t>
        </is>
      </c>
      <c r="B4" s="19" t="inlineStr">
        <is>
          <t>2023-11-20</t>
        </is>
      </c>
      <c r="C4" s="19" t="inlineStr">
        <is>
          <t>Swarajya</t>
        </is>
      </c>
      <c r="D4" s="19" t="inlineStr">
        <is>
          <t>Solo</t>
        </is>
      </c>
      <c r="E4" s="19" t="inlineStr">
        <is>
          <t>Opinion Column</t>
        </is>
      </c>
      <c r="F4" s="20" t="inlineStr">
        <is>
          <t>Reimagining the permanent government: Reforming India's civil service architecture</t>
        </is>
      </c>
      <c r="G4" s="20" t="inlineStr">
        <is>
          <t>The permanent government and civil bureaucracy must transition from administrative gatekeepers to mission-driven enablers. Strengthening institutional accountability and regulatory capacity is critical for civic governance.</t>
        </is>
      </c>
      <c r="H4" s="21">
        <f>HYPERLINK("https://www.google.com/search?q=%22Reimagining%20the%20permanent%20government%3A%20Reforming%20India%27s%20civil%20service%20architecture%22%20Swarajya%20Shobhit%20Mathur", "Search on Google")</f>
        <v/>
      </c>
      <c r="I4" s="19" t="inlineStr">
        <is>
          <t>Public Policy &amp; Governance</t>
        </is>
      </c>
      <c r="J4" s="19" t="inlineStr">
        <is>
          <t>Civic Systems</t>
        </is>
      </c>
    </row>
    <row r="5" ht="65" customHeight="1">
      <c r="A5" s="22" t="inlineStr">
        <is>
          <t>SM-023</t>
        </is>
      </c>
      <c r="B5" s="22" t="inlineStr">
        <is>
          <t>2022-09-12</t>
        </is>
      </c>
      <c r="C5" s="22" t="inlineStr">
        <is>
          <t>Swarajya</t>
        </is>
      </c>
      <c r="D5" s="22" t="inlineStr">
        <is>
          <t>Solo</t>
        </is>
      </c>
      <c r="E5" s="22" t="inlineStr">
        <is>
          <t>Opinion Column</t>
        </is>
      </c>
      <c r="F5" s="23" t="inlineStr">
        <is>
          <t>State capacity and civil society: Redefining NGO-government partnerships</t>
        </is>
      </c>
      <c r="G5" s="23" t="inlineStr">
        <is>
          <t>Civil society organizations and NGOs play an indispensable role in community-level governance and bridging policy delivery gaps. A collaborative model between the state and social innovators strengthens civic systems.</t>
        </is>
      </c>
      <c r="H5" s="24">
        <f>HYPERLINK("https://www.google.com/search?q=%22State%20capacity%20and%20civil%20society%3A%20Redefining%20NGO-government%20partnerships%22%20Swarajya%20Shobhit%20Mathur", "Search on Google")</f>
        <v/>
      </c>
      <c r="I5" s="22" t="inlineStr">
        <is>
          <t>Public Policy &amp; Governance</t>
        </is>
      </c>
      <c r="J5" s="22" t="inlineStr">
        <is>
          <t>Civic Systems</t>
        </is>
      </c>
    </row>
    <row r="6" ht="65" customHeight="1">
      <c r="A6" s="19" t="inlineStr">
        <is>
          <t>SM-025</t>
        </is>
      </c>
      <c r="B6" s="19" t="inlineStr">
        <is>
          <t>2016-05-18</t>
        </is>
      </c>
      <c r="C6" s="19" t="inlineStr">
        <is>
          <t>The Hindu</t>
        </is>
      </c>
      <c r="D6" s="19" t="inlineStr">
        <is>
          <t>Nomesh Bolia</t>
        </is>
      </c>
      <c r="E6" s="19" t="inlineStr">
        <is>
          <t>Research Essay</t>
        </is>
      </c>
      <c r="F6" s="20" t="inlineStr">
        <is>
          <t>The MGNREGA index: Assessing implementation across states</t>
        </is>
      </c>
      <c r="G6" s="20" t="inlineStr">
        <is>
          <t>Empirical evaluation of rural employment schemes reveals critical disparities in wage payment delays and project completion. Developing robust civic indices is essential to evaluate state delivery mechanisms.</t>
        </is>
      </c>
      <c r="H6" s="21">
        <f>HYPERLINK("https://www.google.com/search?q=%22The%20MGNREGA%20index%3A%20Assessing%20implementation%20across%20states%22%20The%20Hindu%20Shobhit%20Mathur", "Search on Google")</f>
        <v/>
      </c>
      <c r="I6" s="19" t="inlineStr">
        <is>
          <t>Public Policy &amp; Governance</t>
        </is>
      </c>
      <c r="J6" s="19" t="inlineStr">
        <is>
          <t>Regulatory Frameworks</t>
        </is>
      </c>
    </row>
    <row r="7" ht="65" customHeight="1">
      <c r="A7" s="22" t="inlineStr">
        <is>
          <t>SM-026</t>
        </is>
      </c>
      <c r="B7" s="22" t="inlineStr">
        <is>
          <t>2016-01-21</t>
        </is>
      </c>
      <c r="C7" s="22" t="inlineStr">
        <is>
          <t>Swarajya</t>
        </is>
      </c>
      <c r="D7" s="22" t="inlineStr">
        <is>
          <t>Solo</t>
        </is>
      </c>
      <c r="E7" s="22" t="inlineStr">
        <is>
          <t>Opinion Column</t>
        </is>
      </c>
      <c r="F7" s="23" t="inlineStr">
        <is>
          <t>More NGOs In India Need To Work With The Government Instead Of Opposing It</t>
        </is>
      </c>
      <c r="G7" s="23" t="inlineStr">
        <is>
          <t>Constructive civic development occurs when non-governmental organizations partner directly with state administrative machinery rather than engaging in reflexive antagonism.</t>
        </is>
      </c>
      <c r="H7" s="24">
        <f>HYPERLINK("https://www.google.com/search?q=%22More%20NGOs%20In%20India%20Need%20To%20Work%20With%20The%20Government%20Instead%20Of%20Opposing%20It%22%20Swarajya%20Shobhit%20Mathur", "Search on Google")</f>
        <v/>
      </c>
      <c r="I7" s="22" t="inlineStr">
        <is>
          <t>Public Policy &amp; Governance</t>
        </is>
      </c>
      <c r="J7" s="22" t="inlineStr">
        <is>
          <t>Civic Systems</t>
        </is>
      </c>
    </row>
    <row r="8" ht="65" customHeight="1">
      <c r="A8" s="19" t="inlineStr">
        <is>
          <t>SM-028</t>
        </is>
      </c>
      <c r="B8" s="19" t="inlineStr">
        <is>
          <t>2018-02-11</t>
        </is>
      </c>
      <c r="C8" s="19" t="inlineStr">
        <is>
          <t>IndiaSpend</t>
        </is>
      </c>
      <c r="D8" s="19" t="inlineStr">
        <is>
          <t>Pallabi Mandal</t>
        </is>
      </c>
      <c r="E8" s="19" t="inlineStr">
        <is>
          <t>Research Essay</t>
        </is>
      </c>
      <c r="F8" s="20" t="inlineStr">
        <is>
          <t>Haphazard Appointment Of Judges Worsening High Court Judicial Delays</t>
        </is>
      </c>
      <c r="G8" s="20" t="inlineStr">
        <is>
          <t>Empirical analysis of Department of Justice data shows ad-hoc judge allocations exacerbate pendency. Systematic judicial appointments and caseload rationalization are urgent for civic justice delivery.</t>
        </is>
      </c>
      <c r="H8" s="21">
        <f>HYPERLINK("https://www.google.com/search?q=%22Haphazard%20Appointment%20Of%20Judges%20Worsening%20High%20Court%20Judicial%20Delays%22%20IndiaSpend%20Shobhit%20Mathur", "Search on Google")</f>
        <v/>
      </c>
      <c r="I8" s="19" t="inlineStr">
        <is>
          <t>Public Policy &amp; Governance</t>
        </is>
      </c>
      <c r="J8" s="19" t="inlineStr">
        <is>
          <t>Civic Systems</t>
        </is>
      </c>
    </row>
    <row r="9" ht="65" customHeight="1">
      <c r="A9" s="22" t="inlineStr">
        <is>
          <t>SM-029</t>
        </is>
      </c>
      <c r="B9" s="22" t="inlineStr">
        <is>
          <t>2016-04-29</t>
        </is>
      </c>
      <c r="C9" s="22" t="inlineStr">
        <is>
          <t>The Wire</t>
        </is>
      </c>
      <c r="D9" s="22" t="inlineStr">
        <is>
          <t>Nomesh Bolia</t>
        </is>
      </c>
      <c r="E9" s="22" t="inlineStr">
        <is>
          <t>Research Essay</t>
        </is>
      </c>
      <c r="F9" s="23" t="inlineStr">
        <is>
          <t>Worst Year Ever For MGNREGA, 23% Drop In Assets Created</t>
        </is>
      </c>
      <c r="G9" s="23" t="inlineStr">
        <is>
          <t>Assessing rural welfare schemes reveals sharp contractions in physical asset creation and wage disbursements. Regulatory efficiency and systemic accountability must guide rural social programs.</t>
        </is>
      </c>
      <c r="H9" s="24">
        <f>HYPERLINK("https://www.google.com/search?q=%22Worst%20Year%20Ever%20For%20MGNREGA%2C%2023%25%20Drop%20In%20Assets%20Created%22%20The%20Wire%20Shobhit%20Mathur", "Search on Google")</f>
        <v/>
      </c>
      <c r="I9" s="22" t="inlineStr">
        <is>
          <t>Public Policy &amp; Governance</t>
        </is>
      </c>
      <c r="J9" s="22" t="inlineStr">
        <is>
          <t>Regulatory Frameworks</t>
        </is>
      </c>
    </row>
    <row r="10" ht="65" customHeight="1">
      <c r="A10" s="19" t="inlineStr">
        <is>
          <t>SM-031</t>
        </is>
      </c>
      <c r="B10" s="19" t="inlineStr">
        <is>
          <t>2017-03-31</t>
        </is>
      </c>
      <c r="C10" s="19" t="inlineStr">
        <is>
          <t>The Quint</t>
        </is>
      </c>
      <c r="D10" s="19" t="inlineStr">
        <is>
          <t>Solo</t>
        </is>
      </c>
      <c r="E10" s="19" t="inlineStr">
        <is>
          <t>Opinion Column</t>
        </is>
      </c>
      <c r="F10" s="20" t="inlineStr">
        <is>
          <t>Why Judicial Reform Should Start With Lower Courts</t>
        </is>
      </c>
      <c r="G10" s="20" t="inlineStr">
        <is>
          <t>Immediate improvements in the judicial system could be achieved by focusing on lower courts, collecting standardized case data, and horizontally replicating procedural innovations.</t>
        </is>
      </c>
      <c r="H10" s="21">
        <f>HYPERLINK("https://www.google.com/search?q=%22Why%20Judicial%20Reform%20Should%20Start%20With%20Lower%20Courts%22%20The%20Quint%20Shobhit%20Mathur", "Search on Google")</f>
        <v/>
      </c>
      <c r="I10" s="19" t="inlineStr">
        <is>
          <t>Public Policy &amp; Governance</t>
        </is>
      </c>
      <c r="J10" s="19" t="inlineStr">
        <is>
          <t>Civic Systems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10" customWidth="1" min="1" max="1"/>
    <col width="13" customWidth="1" min="2" max="2"/>
    <col width="20" customWidth="1" min="3" max="3"/>
    <col width="18" customWidth="1" min="4" max="4"/>
    <col width="18" customWidth="1" min="5" max="5"/>
    <col width="38" customWidth="1" min="6" max="6"/>
    <col width="50" customWidth="1" min="7" max="7"/>
    <col width="38" customWidth="1" min="8" max="8"/>
    <col width="24" customWidth="1" min="9" max="9"/>
    <col width="24" customWidth="1" min="10" max="10"/>
  </cols>
  <sheetData>
    <row r="1" ht="28" customHeight="1">
      <c r="A1" s="27" t="inlineStr">
        <is>
          <t>ID</t>
        </is>
      </c>
      <c r="B1" s="27" t="inlineStr">
        <is>
          <t>Date</t>
        </is>
      </c>
      <c r="C1" s="27" t="inlineStr">
        <is>
          <t>Publication</t>
        </is>
      </c>
      <c r="D1" s="27" t="inlineStr">
        <is>
          <t>Co-Authors</t>
        </is>
      </c>
      <c r="E1" s="27" t="inlineStr">
        <is>
          <t>Content Type</t>
        </is>
      </c>
      <c r="F1" s="27" t="inlineStr">
        <is>
          <t>Article Title</t>
        </is>
      </c>
      <c r="G1" s="27" t="inlineStr">
        <is>
          <t>Post Content (Author Commentary)</t>
        </is>
      </c>
      <c r="H1" s="27" t="inlineStr">
        <is>
          <t>URL</t>
        </is>
      </c>
      <c r="I1" s="27" t="inlineStr">
        <is>
          <t>Primary Classification</t>
        </is>
      </c>
      <c r="J1" s="27" t="inlineStr">
        <is>
          <t>Sub-classification</t>
        </is>
      </c>
    </row>
    <row r="2" ht="65" customHeight="1">
      <c r="A2" s="19" t="inlineStr">
        <is>
          <t>SM-004</t>
        </is>
      </c>
      <c r="B2" s="19" t="inlineStr">
        <is>
          <t>2026-06-19</t>
        </is>
      </c>
      <c r="C2" s="19" t="inlineStr">
        <is>
          <t>ThePrint</t>
        </is>
      </c>
      <c r="D2" s="19" t="inlineStr">
        <is>
          <t>Suresh Prabhu</t>
        </is>
      </c>
      <c r="E2" s="19" t="inlineStr">
        <is>
          <t>Opinion Column</t>
        </is>
      </c>
      <c r="F2" s="20" t="inlineStr">
        <is>
          <t>India is mistaking data localisation for digital sovereignty. It must control the traffic system</t>
        </is>
      </c>
      <c r="G2" s="20" t="inlineStr">
        <is>
          <t>True digital sovereignty cannot be achieved merely by storing bits within national borders. We must master the digital traffic architecture, core algorithms, and communication layers to secure our tech rise and strategic independence.</t>
        </is>
      </c>
      <c r="H2" s="21">
        <f>HYPERLINK("https://www.google.com/search?q=%22India%20is%20mistaking%20data%20localisation%20for%20digital%20sovereignty.%20It%20must%20control%20the%20traffic%20system%22%20ThePrint%20Shobhit%20Mathur", "Search on Google")</f>
        <v/>
      </c>
      <c r="I2" s="19" t="inlineStr">
        <is>
          <t>Technology &amp; Innovation</t>
        </is>
      </c>
      <c r="J2" s="19" t="inlineStr">
        <is>
          <t>Digital Sovereignty</t>
        </is>
      </c>
    </row>
    <row r="3" ht="65" customHeight="1">
      <c r="A3" s="22" t="inlineStr">
        <is>
          <t>SM-005</t>
        </is>
      </c>
      <c r="B3" s="22" t="inlineStr">
        <is>
          <t>2026-06-12</t>
        </is>
      </c>
      <c r="C3" s="22" t="inlineStr">
        <is>
          <t>The Economic Times</t>
        </is>
      </c>
      <c r="D3" s="22" t="inlineStr">
        <is>
          <t>Suresh Prabhu</t>
        </is>
      </c>
      <c r="E3" s="22" t="inlineStr">
        <is>
          <t>Opinion Column</t>
        </is>
      </c>
      <c r="F3" s="23" t="inlineStr">
        <is>
          <t>India's development ladder after AI: What comes next?</t>
        </is>
      </c>
      <c r="G3" s="23" t="inlineStr">
        <is>
          <t>The traditional pathway of climbing the developmental ladder through low-cost services and manual labor is rapidly shifting due to artificial intelligence. How India navigates AI implications will determine our economic future.</t>
        </is>
      </c>
      <c r="H3" s="24">
        <f>HYPERLINK("https://www.google.com/search?q=%22India%27s%20development%20ladder%20after%20AI%3A%20What%20comes%20next%3F%22%20The%20Economic%20Times%20Shobhit%20Mathur", "Search on Google")</f>
        <v/>
      </c>
      <c r="I3" s="22" t="inlineStr">
        <is>
          <t>Technology &amp; Innovation</t>
        </is>
      </c>
      <c r="J3" s="22" t="inlineStr">
        <is>
          <t>AI Implications</t>
        </is>
      </c>
    </row>
    <row r="4" ht="65" customHeight="1">
      <c r="A4" s="19" t="inlineStr">
        <is>
          <t>SM-009</t>
        </is>
      </c>
      <c r="B4" s="19" t="inlineStr">
        <is>
          <t>2025-06-18</t>
        </is>
      </c>
      <c r="C4" s="19" t="inlineStr">
        <is>
          <t>The Economic Times</t>
        </is>
      </c>
      <c r="D4" s="19" t="inlineStr">
        <is>
          <t>Suresh Prabhu</t>
        </is>
      </c>
      <c r="E4" s="19" t="inlineStr">
        <is>
          <t>Opinion Column</t>
        </is>
      </c>
      <c r="F4" s="20" t="inlineStr">
        <is>
          <t>Technology education key to India's sovereignty</t>
        </is>
      </c>
      <c r="G4" s="20" t="inlineStr">
        <is>
          <t>Critical tech infrastructure demands homegrown talent and strategic educational programs. Fostering indigenous engineering and frugal innovation in our universities is essential to safeguard national digital security.</t>
        </is>
      </c>
      <c r="H4" s="21">
        <f>HYPERLINK("https://www.google.com/search?q=%22Technology%20education%20key%20to%20India%27s%20sovereignty%22%20The%20Economic%20Times%20Shobhit%20Mathur", "Search on Google")</f>
        <v/>
      </c>
      <c r="I4" s="19" t="inlineStr">
        <is>
          <t>Technology &amp; Innovation</t>
        </is>
      </c>
      <c r="J4" s="19" t="inlineStr">
        <is>
          <t>Frugal Innovation</t>
        </is>
      </c>
    </row>
    <row r="5" ht="65" customHeight="1">
      <c r="A5" s="22" t="inlineStr">
        <is>
          <t>SM-011</t>
        </is>
      </c>
      <c r="B5" s="22" t="inlineStr">
        <is>
          <t>2025-06-04</t>
        </is>
      </c>
      <c r="C5" s="22" t="inlineStr">
        <is>
          <t>LinkedIn Pulse</t>
        </is>
      </c>
      <c r="D5" s="22" t="inlineStr">
        <is>
          <t>Solo</t>
        </is>
      </c>
      <c r="E5" s="22" t="inlineStr">
        <is>
          <t>Book Review</t>
        </is>
      </c>
      <c r="F5" s="23" t="inlineStr">
        <is>
          <t>Book Review | Yuk Hui’s The Question Concerning Technology in China (2016)</t>
        </is>
      </c>
      <c r="G5" s="23" t="inlineStr">
        <is>
          <t>What if technology is not universal—but civilizational? Yuk Hui’s groundbreaking book challenges one of modernity’s deepest assumptions: that technology is a neutral, universal force. A profound exploration of digital cosmotechnics and sovereignty.</t>
        </is>
      </c>
      <c r="H5" s="24">
        <f>HYPERLINK("https://www.google.com/search?q=%22Book%20Review%20%7C%20Yuk%20Hui%E2%80%99s%20The%20Question%20Concerning%20Technology%20in%20China%20%282016%29%22%20LinkedIn%20Pulse%20Shobhit%20Mathur", "Search on Google")</f>
        <v/>
      </c>
      <c r="I5" s="22" t="inlineStr">
        <is>
          <t>Technology &amp; Innovation</t>
        </is>
      </c>
      <c r="J5" s="22" t="inlineStr">
        <is>
          <t>Digital Sovereignty</t>
        </is>
      </c>
    </row>
    <row r="6" ht="65" customHeight="1">
      <c r="A6" s="19" t="inlineStr">
        <is>
          <t>SM-018</t>
        </is>
      </c>
      <c r="B6" s="19" t="inlineStr">
        <is>
          <t>2023-08-23</t>
        </is>
      </c>
      <c r="C6" s="19" t="inlineStr">
        <is>
          <t>Livemint</t>
        </is>
      </c>
      <c r="D6" s="19" t="inlineStr">
        <is>
          <t>Suresh Prabhu</t>
        </is>
      </c>
      <c r="E6" s="19" t="inlineStr">
        <is>
          <t>Opinion Column</t>
        </is>
      </c>
      <c r="F6" s="20" t="inlineStr">
        <is>
          <t>India has an opportunity to lead the fourth industrial revolution</t>
        </is>
      </c>
      <c r="G6" s="20" t="inlineStr">
        <is>
          <t>India stands at a pivotal juncture where technological rise, digital adoption, and frugal innovation can position our industries at the forefront of the Fourth Industrial Revolution.</t>
        </is>
      </c>
      <c r="H6" s="21">
        <f>HYPERLINK("https://www.google.com/search?q=%22India%20has%20an%20opportunity%20to%20lead%20the%20fourth%20industrial%20revolution%22%20Livemint%20Shobhit%20Mathur", "Search on Google")</f>
        <v/>
      </c>
      <c r="I6" s="19" t="inlineStr">
        <is>
          <t>Technology &amp; Innovation</t>
        </is>
      </c>
      <c r="J6" s="19" t="inlineStr">
        <is>
          <t>Frugal Innovation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2026-08-18T11:02:59Z</dcterms:created>
  <dcterms:modified xmlns:dcterms="http://purl.org/dc/terms/" xmlns:xsi="http://www.w3.org/2001/XMLSchema-instance" xsi:type="dcterms:W3CDTF">2026-08-18T11:02:59Z</dcterms:modified>
</cp:coreProperties>
</file>